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 activeTab="1"/>
  </bookViews>
  <sheets>
    <sheet name="Test Scenarios" sheetId="1" r:id="rId1"/>
    <sheet name="Test Cases" sheetId="2" r:id="rId2"/>
    <sheet name="Test Cases (Simple)" sheetId="3" r:id="rId3"/>
    <sheet name="Test Execution" sheetId="4" r:id="rId4"/>
    <sheet name="Bug Tracker" sheetId="5" r:id="rId5"/>
    <sheet name="Requirements" sheetId="6" r:id="rId6"/>
    <sheet name="Dashboard" sheetId="7" r:id="rId7"/>
  </sheets>
  <definedNames>
    <definedName name="_xlnm.Print_Area" localSheetId="6">Dashboard!$A$1:$AA$57</definedName>
    <definedName name="_xlnm.Print_Area" localSheetId="0">'Test Scenarios'!$A$1:$E$15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<sst xmlns="http://schemas.openxmlformats.org/spreadsheetml/2006/main" count="4967" uniqueCount="1684">
  <si>
    <t>Test Scenario ID</t>
  </si>
  <si>
    <t>Reference</t>
  </si>
  <si>
    <t>Test Scenario Description</t>
  </si>
  <si>
    <t>Priority</t>
  </si>
  <si>
    <t>Number of Test Cases</t>
  </si>
  <si>
    <t>TS_001</t>
  </si>
  <si>
    <t>FRS</t>
  </si>
  <si>
    <t>Register Functionality</t>
  </si>
  <si>
    <t>P0</t>
  </si>
  <si>
    <t>TS_002</t>
  </si>
  <si>
    <t>Login Functionality</t>
  </si>
  <si>
    <t>TS_003</t>
  </si>
  <si>
    <t>Logout Functionality</t>
  </si>
  <si>
    <t>TS_004</t>
  </si>
  <si>
    <t>Forgot Password</t>
  </si>
  <si>
    <t>P2</t>
  </si>
  <si>
    <t>TS_005</t>
  </si>
  <si>
    <t>Search Functionality</t>
  </si>
  <si>
    <t>P1</t>
  </si>
  <si>
    <t>TS_006</t>
  </si>
  <si>
    <t>Product Compare</t>
  </si>
  <si>
    <t>P4</t>
  </si>
  <si>
    <t>TS_007</t>
  </si>
  <si>
    <t>Product Display Page</t>
  </si>
  <si>
    <t>TS_008</t>
  </si>
  <si>
    <t>Add to Cart</t>
  </si>
  <si>
    <t>TS_009</t>
  </si>
  <si>
    <t>Wish List</t>
  </si>
  <si>
    <t>TS_010</t>
  </si>
  <si>
    <t>Shopping Cart</t>
  </si>
  <si>
    <t>TS_011</t>
  </si>
  <si>
    <t>Home Page</t>
  </si>
  <si>
    <t>TS_012</t>
  </si>
  <si>
    <t>Checkout</t>
  </si>
  <si>
    <t>TS_013</t>
  </si>
  <si>
    <t>My Account</t>
  </si>
  <si>
    <t>TOTAL TEST CASES</t>
  </si>
  <si>
    <t>Test Case ID</t>
  </si>
  <si>
    <t>Module</t>
  </si>
  <si>
    <t>Test Case Title</t>
  </si>
  <si>
    <t>Preconditions</t>
  </si>
  <si>
    <t>Test Steps</t>
  </si>
  <si>
    <t>Test Data</t>
  </si>
  <si>
    <t>Expected Result</t>
  </si>
  <si>
    <t>Test Type</t>
  </si>
  <si>
    <t>Status</t>
  </si>
  <si>
    <t>Actual Result</t>
  </si>
  <si>
    <t>Defect ID</t>
  </si>
  <si>
    <t>Executed By</t>
  </si>
  <si>
    <t>Execution Date</t>
  </si>
  <si>
    <t>TC_0001</t>
  </si>
  <si>
    <t>Register</t>
  </si>
  <si>
    <t>Register with valid mandatory data</t>
  </si>
  <si>
    <t>User is on the Registration page and is not logged in.</t>
  </si>
  <si>
    <t>1. Navigate to the Registration page.
2. Enter a valid first name, last name, and a unique email address.
3. Enter a password that meets complexity rules.
4. Re-enter the same password in the Confirm Password field.
5. Check the 'I agree to Terms and Conditions' checkbox.
6. Click the Register button.</t>
  </si>
  <si>
    <t>First Name: Sarah | Last Name: Ahmed | Email: sarah.ahmed01@example.com | Password: Passw0rd!23</t>
  </si>
  <si>
    <t>Account is created successfully, a confirmation message is shown, and the user is redirected to the login page or homepage as a logged-in user.</t>
  </si>
  <si>
    <t>Positive</t>
  </si>
  <si>
    <t>Pass</t>
  </si>
  <si>
    <t>Account created successfully; redirected to homepage as logged-in user.</t>
  </si>
  <si>
    <t>Ali Hassan</t>
  </si>
  <si>
    <t>2026-09-15</t>
  </si>
  <si>
    <t>TC_0002</t>
  </si>
  <si>
    <t>Register with empty First Name field</t>
  </si>
  <si>
    <t>User is on the Registration page.</t>
  </si>
  <si>
    <t>1. Leave the First Name field empty.
2. Fill in all other required fields with valid data.
3. Click the Register button.</t>
  </si>
  <si>
    <t>First Name: (empty) | Last Name: Hassan | Email: hassan.t@example.com | Password: Passw0rd!23</t>
  </si>
  <si>
    <t>Registration is blocked and an inline validation message 'First name is required' is displayed under the First Name field.</t>
  </si>
  <si>
    <t>Negative - Required Field Validation</t>
  </si>
  <si>
    <t>Validation message 'First name is required' displayed as expected.</t>
  </si>
  <si>
    <t>Mona Fathy</t>
  </si>
  <si>
    <t>TC_0003</t>
  </si>
  <si>
    <t>Register with empty Last Name field</t>
  </si>
  <si>
    <t>1. Leave the Last Name field empty.
2. Fill in all other required fields with valid data.
3. Click the Register button.</t>
  </si>
  <si>
    <t>First Name: Omar | Last Name: (empty) | Email: omar.k@example.com | Password: Passw0rd!23</t>
  </si>
  <si>
    <t>Registration is blocked and an inline validation message 'Last name is required' is displayed under the Last Name field.</t>
  </si>
  <si>
    <t>TC_0004</t>
  </si>
  <si>
    <t>Register with empty Email field</t>
  </si>
  <si>
    <t>1. Leave the Email field empty.
2. Fill in all other required fields with valid data.
3. Click the Register button.</t>
  </si>
  <si>
    <t>Email: (empty)</t>
  </si>
  <si>
    <t>Registration is blocked and an inline validation message 'Email is required' is displayed under the Email field.</t>
  </si>
  <si>
    <t>TC_0005</t>
  </si>
  <si>
    <t>Register with empty Password field</t>
  </si>
  <si>
    <t>1. Leave the Password field empty.
2. Fill in all other required fields with valid data.
3. Click the Register button.</t>
  </si>
  <si>
    <t>Password: (empty)</t>
  </si>
  <si>
    <t>Registration is blocked and an inline validation message 'Password is required' is displayed under the Password field.</t>
  </si>
  <si>
    <t>TC_0006</t>
  </si>
  <si>
    <t>Register with empty Confirm Password field</t>
  </si>
  <si>
    <t>1. Enter a valid password in the Password field.
2. Leave the Confirm Password field empty.
3. Click the Register button.</t>
  </si>
  <si>
    <t>Password: Passw0rd!23 | Confirm Password: (empty)</t>
  </si>
  <si>
    <t>Registration is blocked and a validation message 'Please confirm your password' is displayed.</t>
  </si>
  <si>
    <t>TC_0007</t>
  </si>
  <si>
    <t>Register with invalid email format - missing @ symbol</t>
  </si>
  <si>
    <t>1. Fill in all fields with valid data.
2. Enter an email address without an '@' symbol.
3. Click the Register button.</t>
  </si>
  <si>
    <t>Email: sarahexample.com</t>
  </si>
  <si>
    <t>Registration is blocked and a validation message 'Please enter a valid email address' is displayed.</t>
  </si>
  <si>
    <t>Negative - Field Format Validation</t>
  </si>
  <si>
    <t>TC_0008</t>
  </si>
  <si>
    <t>Register with invalid email format - missing domain</t>
  </si>
  <si>
    <t>1. Fill in all fields with valid data.
2. Enter an email address without a domain after the '@' symbol.
3. Click the Register button.</t>
  </si>
  <si>
    <t>Email: sarah.ahmed@</t>
  </si>
  <si>
    <t>TC_0009</t>
  </si>
  <si>
    <t>Register with an already registered email address</t>
  </si>
  <si>
    <t>An account already exists with the email 'existing.user@example.com'.</t>
  </si>
  <si>
    <t>1. Navigate to the Registration page.
2. Fill in the form using an email address that is already registered.
3. Click the Register button.</t>
  </si>
  <si>
    <t>Email: existing.user@example.com</t>
  </si>
  <si>
    <t>Registration is blocked and an error message 'An account with this email already exists' is displayed, with a suggestion to log in instead.</t>
  </si>
  <si>
    <t>Negative - Business Rule Validation</t>
  </si>
  <si>
    <t>Fail</t>
  </si>
  <si>
    <t>Registration succeeded with a duplicate email; no error message was shown.</t>
  </si>
  <si>
    <t>BUG_001</t>
  </si>
  <si>
    <t>TC_0010</t>
  </si>
  <si>
    <t>Register with password shorter than minimum allowed length</t>
  </si>
  <si>
    <t>User is on the Registration page. Minimum password length is 8 characters.</t>
  </si>
  <si>
    <t>1. Fill in all fields with valid data.
2. Enter a password with 7 characters.
3. Click the Register button.</t>
  </si>
  <si>
    <t>Password: Pas1!aB (7 characters)</t>
  </si>
  <si>
    <t>Registration is blocked and a validation message 'Password must be at least 8 characters long' is displayed.</t>
  </si>
  <si>
    <t>Boundary Value Analysis</t>
  </si>
  <si>
    <t>Not Run</t>
  </si>
  <si>
    <t>TC_0011</t>
  </si>
  <si>
    <t>Register with password at exact minimum allowed length</t>
  </si>
  <si>
    <t>1. Fill in all fields with valid data.
2. Enter a password with exactly 8 characters meeting complexity rules.
3. Click the Register button.</t>
  </si>
  <si>
    <t>Password: Pass1!aB (8 characters)</t>
  </si>
  <si>
    <t>Password is accepted and the account is registered successfully.</t>
  </si>
  <si>
    <t>TC_0012</t>
  </si>
  <si>
    <t>Register with password exceeding maximum allowed length</t>
  </si>
  <si>
    <t>User is on the Registration page. Maximum password length is 20 characters.</t>
  </si>
  <si>
    <t>1. Fill in all fields with valid data.
2. Enter a password with 21 characters.
3. Click the Register button.</t>
  </si>
  <si>
    <t>Password: Passw0rd!23456789ABCX (21 characters)</t>
  </si>
  <si>
    <t>Registration is blocked and a validation message 'Password must not exceed 20 characters' is displayed.</t>
  </si>
  <si>
    <t>TC_0013</t>
  </si>
  <si>
    <t>Register with password missing an uppercase letter</t>
  </si>
  <si>
    <t>1. Fill in all fields with valid data.
2. Enter a password containing only lowercase letters, numbers, and symbols.
3. Click the Register button.</t>
  </si>
  <si>
    <t>Password: passw0rd!23</t>
  </si>
  <si>
    <t>Registration is blocked and a validation message 'Password must contain at least one uppercase letter' is displayed.</t>
  </si>
  <si>
    <t>Validation Testing</t>
  </si>
  <si>
    <t>Password with missing uppercase letter correctly rejected.</t>
  </si>
  <si>
    <t>TC_0014</t>
  </si>
  <si>
    <t>Register with password missing a numeric character</t>
  </si>
  <si>
    <t>1. Fill in all fields with valid data.
2. Enter a password without any digits.
3. Click the Register button.</t>
  </si>
  <si>
    <t>Password: Password!ABC</t>
  </si>
  <si>
    <t>Registration is blocked and a validation message 'Password must contain at least one number' is displayed.</t>
  </si>
  <si>
    <t>TC_0015</t>
  </si>
  <si>
    <t>Register with password missing a special character</t>
  </si>
  <si>
    <t>1. Fill in all fields with valid data.
2. Enter a password containing only letters and numbers.
3. Click the Register button.</t>
  </si>
  <si>
    <t>Password: Passw0rd123</t>
  </si>
  <si>
    <t>Registration is blocked and a validation message 'Password must contain at least one special character' is displayed.</t>
  </si>
  <si>
    <t>TC_0016</t>
  </si>
  <si>
    <t>Register with mismatched Password and Confirm Password</t>
  </si>
  <si>
    <t>1. Fill in all fields with valid data.
2. Enter a valid password in the Password field.
3. Enter a different value in the Confirm Password field.
4. Click the Register button.</t>
  </si>
  <si>
    <t>Password: Passw0rd!23 | Confirm Password: Passw0rd!24</t>
  </si>
  <si>
    <t>Registration is blocked and a validation message 'Passwords do not match' is displayed.</t>
  </si>
  <si>
    <t>Negative - Field Validation</t>
  </si>
  <si>
    <t>TC_0017</t>
  </si>
  <si>
    <t>Register with SQL injection payload in the Email field</t>
  </si>
  <si>
    <t>1. Fill in all other fields with valid data.
2. Enter a SQL injection payload in the Email field.
3. Click the Register button.</t>
  </si>
  <si>
    <t>Email: ' OR '1'='1'; DROP TABLE Users;--</t>
  </si>
  <si>
    <t>Input is rejected by client-side/server-side validation as an invalid email; no database error is exposed and no data is compromised.</t>
  </si>
  <si>
    <t>Security Testing</t>
  </si>
  <si>
    <t>TC_0018</t>
  </si>
  <si>
    <t>Register with script tag in the First Name field (XSS attempt)</t>
  </si>
  <si>
    <t>1. Fill in all other fields with valid data.
2. Enter a script tag as the First Name.
3. Click the Register button.</t>
  </si>
  <si>
    <t>First Name: &lt;script&gt;alert('xss')&lt;/script&gt;</t>
  </si>
  <si>
    <t>The script is not executed and is either rejected with a validation message or safely encoded/sanitized when stored and displayed.</t>
  </si>
  <si>
    <t>TC_0019</t>
  </si>
  <si>
    <t>Register with leading and trailing spaces in the Email field</t>
  </si>
  <si>
    <t>1. Fill in all fields with valid data.
2. Enter an email address with leading and trailing spaces.
3. Click the Register button.</t>
  </si>
  <si>
    <t>Email: '  sarah.ahmed01@example.com  '</t>
  </si>
  <si>
    <t>The application trims the spaces automatically and registers the account successfully with the cleaned email value.</t>
  </si>
  <si>
    <t>Equivalence Partitioning</t>
  </si>
  <si>
    <t>TC_0020</t>
  </si>
  <si>
    <t>Register with numeric characters in the First Name field</t>
  </si>
  <si>
    <t>1. Fill in all fields with valid data.
2. Enter numeric characters in the First Name field.
3. Click the Register button.</t>
  </si>
  <si>
    <t>First Name: 12345</t>
  </si>
  <si>
    <t>Registration is blocked and a validation message 'First name must contain only letters' is displayed.</t>
  </si>
  <si>
    <t>TC_0021</t>
  </si>
  <si>
    <t>Register with special characters in the First Name field</t>
  </si>
  <si>
    <t>1. Fill in all fields with valid data.
2. Enter special characters in the First Name field.
3. Click the Register button.</t>
  </si>
  <si>
    <t>First Name: @#$%^&amp;</t>
  </si>
  <si>
    <t>Registration is blocked and a validation message 'First name contains invalid characters' is displayed.</t>
  </si>
  <si>
    <t>TC_0022</t>
  </si>
  <si>
    <t>Register without accepting Terms and Conditions</t>
  </si>
  <si>
    <t>User is on the Registration page and the Terms and Conditions checkbox is unchecked by default.</t>
  </si>
  <si>
    <t>1. Fill in all required fields with valid data.
2. Leave the 'I agree to Terms and Conditions' checkbox unchecked.
3. Click the Register button.</t>
  </si>
  <si>
    <t>All fields valid, Terms checkbox: unchecked</t>
  </si>
  <si>
    <t>Registration is blocked and a message 'You must accept the Terms and Conditions to continue' is displayed.</t>
  </si>
  <si>
    <t>Business Rule Validation</t>
  </si>
  <si>
    <t>TC_0023</t>
  </si>
  <si>
    <t>Register with a valid phone number format</t>
  </si>
  <si>
    <t>User is on the Registration page and the form includes an optional/required Phone Number field.</t>
  </si>
  <si>
    <t>1. Fill in all required fields with valid data.
2. Enter a valid phone number in the Phone Number field.
3. Click the Register button.</t>
  </si>
  <si>
    <t>Phone: +201012345678</t>
  </si>
  <si>
    <t>The phone number is accepted and the account is registered successfully.</t>
  </si>
  <si>
    <t>TC_0024</t>
  </si>
  <si>
    <t>Register with an invalid phone number format</t>
  </si>
  <si>
    <t>1. Fill in all required fields with valid data.
2. Enter an invalid phone number containing letters.
3. Click the Register button.</t>
  </si>
  <si>
    <t>Phone: 12A-BC-4567</t>
  </si>
  <si>
    <t>Registration is blocked and a validation message 'Please enter a valid phone number' is displayed.</t>
  </si>
  <si>
    <t>TC_0025</t>
  </si>
  <si>
    <t>Verify duplicate submission is prevented on double-click of Register button</t>
  </si>
  <si>
    <t>User is on the Registration page with all fields filled with valid data.</t>
  </si>
  <si>
    <t>1. Fill in all required fields with valid, unique data.
2. Rapidly double-click the Register button before the page responds.</t>
  </si>
  <si>
    <t>All fields valid and unique</t>
  </si>
  <si>
    <t>Only one account is created; the button is disabled or shows a loading state after the first click, preventing a duplicate submission/duplicate account.</t>
  </si>
  <si>
    <t>Negative - Regression</t>
  </si>
  <si>
    <t>Duplicate click prevented; only one account created.</t>
  </si>
  <si>
    <t>Youssef Adel</t>
  </si>
  <si>
    <t>2026-09-16</t>
  </si>
  <si>
    <t>TC_0026</t>
  </si>
  <si>
    <t>Verify navigation from Register page to Login page</t>
  </si>
  <si>
    <t>1. Locate the 'Already have an account? Login' link.
2. Click the link.</t>
  </si>
  <si>
    <t>N/A</t>
  </si>
  <si>
    <t>The user is navigated to the Login page successfully.</t>
  </si>
  <si>
    <t>Navigation Testing</t>
  </si>
  <si>
    <t>TC_0027</t>
  </si>
  <si>
    <t>Verify Password field masks entered characters</t>
  </si>
  <si>
    <t>1. Click into the Password field.
2. Type a password.
3. Observe the displayed characters.</t>
  </si>
  <si>
    <t>Password: Passw0rd!23</t>
  </si>
  <si>
    <t>Entered characters are masked (displayed as dots/asterisks) by default to protect the password from shoulder-surfing.</t>
  </si>
  <si>
    <t>UI Testing</t>
  </si>
  <si>
    <t>TC_0028</t>
  </si>
  <si>
    <t>Login</t>
  </si>
  <si>
    <t>Login with valid registered credentials</t>
  </si>
  <si>
    <t>User has a registered and active account.</t>
  </si>
  <si>
    <t>1. Navigate to the Login page.
2. Enter a valid registered email address.
3. Enter the correct password.
4. Click the Login button.</t>
  </si>
  <si>
    <t>Email: testuser@example.com | Password: ValidPassword123!</t>
  </si>
  <si>
    <t>The user is successfully authenticated and redirected to the homepage or account dashboard.</t>
  </si>
  <si>
    <t>Valid login succeeded; redirected to homepage.</t>
  </si>
  <si>
    <t>TC_0029</t>
  </si>
  <si>
    <t>Login with an incorrect password</t>
  </si>
  <si>
    <t>User has a registered account.</t>
  </si>
  <si>
    <t>1. Navigate to the Login page.
2. Enter a valid registered email address.
3. Enter an incorrect password.
4. Click the Login button.</t>
  </si>
  <si>
    <t>Email: testuser@example.com | Password: WrongPass1!</t>
  </si>
  <si>
    <t>Login is rejected and an error message 'Invalid email or password' is displayed; the user remains on the login page.</t>
  </si>
  <si>
    <t>Negative</t>
  </si>
  <si>
    <t>Invalid password correctly rejected with generic error.</t>
  </si>
  <si>
    <t>TC_0030</t>
  </si>
  <si>
    <t>Login with an unregistered email address</t>
  </si>
  <si>
    <t>The email address used is not associated with any account.</t>
  </si>
  <si>
    <t>1. Navigate to the Login page.
2. Enter an email address that is not registered.
3. Enter any password.
4. Click the Login button.</t>
  </si>
  <si>
    <t>Email: notregistered@example.com | Password: AnyPassword1!</t>
  </si>
  <si>
    <t>Login is rejected and a generic error message 'Invalid email or password' is displayed without revealing whether the email exists.</t>
  </si>
  <si>
    <t>TC_0031</t>
  </si>
  <si>
    <t>Login with empty Email field</t>
  </si>
  <si>
    <t>User is on the Login page.</t>
  </si>
  <si>
    <t>1. Leave the Email field empty.
2. Enter a valid password.
3. Click the Login button.</t>
  </si>
  <si>
    <t>Email: (empty) | Password: ValidPassword123!</t>
  </si>
  <si>
    <t>Login is blocked and a validation message 'Email is required' is displayed.</t>
  </si>
  <si>
    <t>TC_0032</t>
  </si>
  <si>
    <t>Login with empty Password field</t>
  </si>
  <si>
    <t>1. Enter a valid registered email address.
2. Leave the Password field empty.
3. Click the Login button.</t>
  </si>
  <si>
    <t>Email: testuser@example.com | Password: (empty)</t>
  </si>
  <si>
    <t>Login is blocked and a validation message 'Password is required' is displayed.</t>
  </si>
  <si>
    <t>TC_0033</t>
  </si>
  <si>
    <t>Login with both Email and Password fields empty</t>
  </si>
  <si>
    <t>1. Leave both Email and Password fields empty.
2. Click the Login button.</t>
  </si>
  <si>
    <t>Email: (empty) | Password: (empty)</t>
  </si>
  <si>
    <t>Login is blocked and validation messages are displayed for both required fields.</t>
  </si>
  <si>
    <t>TC_0034</t>
  </si>
  <si>
    <t>Login with an invalid email format</t>
  </si>
  <si>
    <t>1. Enter an email address in an invalid format.
2. Enter any password.
3. Click the Login button.</t>
  </si>
  <si>
    <t>Email: testuserexample.com | Password: ValidPassword123!</t>
  </si>
  <si>
    <t>Login is blocked and a validation message 'Please enter a valid email address' is displayed.</t>
  </si>
  <si>
    <t>TC_0035</t>
  </si>
  <si>
    <t>Login with email in different letter casing than registered</t>
  </si>
  <si>
    <t>User has a registered account with email 'TestUser@example.com'.</t>
  </si>
  <si>
    <t>1. Enter the registered email using different casing (e.g., all lowercase).
2. Enter the correct password.
3. Click the Login button.</t>
  </si>
  <si>
    <t>The user is successfully authenticated, confirming email comparison is case-insensitive.</t>
  </si>
  <si>
    <t>TC_0036</t>
  </si>
  <si>
    <t>Login with SQL injection payload in the Email field</t>
  </si>
  <si>
    <t>1. Enter a SQL injection payload in the Email field.
2. Enter any value in the Password field.
3. Click the Login button.</t>
  </si>
  <si>
    <t>Email: admin' OR '1'='1 | Password: anything</t>
  </si>
  <si>
    <t>Login is rejected with a generic invalid credentials message; no database error is exposed and no unauthorized access is granted.</t>
  </si>
  <si>
    <t>TC_0037</t>
  </si>
  <si>
    <t>Login with 'Remember Me' checkbox checked</t>
  </si>
  <si>
    <t>User has a registered account and the Login page displays a 'Remember Me' checkbox.</t>
  </si>
  <si>
    <t>1. Enter valid credentials.
2. Check the 'Remember Me' checkbox.
3. Click the Login button.
4. Close and reopen the browser, then revisit the site.</t>
  </si>
  <si>
    <t>Email: testuser@example.com | Password: ValidPassword123! | Remember Me: checked</t>
  </si>
  <si>
    <t>The user remains logged in after closing and reopening the browser, without needing to log in again.</t>
  </si>
  <si>
    <t>Functional Testing</t>
  </si>
  <si>
    <t>TC_0038</t>
  </si>
  <si>
    <t>Login with 'Remember Me' checkbox unchecked</t>
  </si>
  <si>
    <t>1. Enter valid credentials.
2. Leave the 'Remember Me' checkbox unchecked.
3. Click the Login button.
4. Close and reopen the browser, then revisit the site.</t>
  </si>
  <si>
    <t>Email: testuser@example.com | Password: ValidPassword123! | Remember Me: unchecked</t>
  </si>
  <si>
    <t>The user's session is not persisted; the user is required to log in again after reopening the browser.</t>
  </si>
  <si>
    <t>TC_0039</t>
  </si>
  <si>
    <t>Verify Password field masks entered characters on Login page</t>
  </si>
  <si>
    <t>Password: ValidPassword123!</t>
  </si>
  <si>
    <t>Entered characters are masked by default (shown as dots/asterisks).</t>
  </si>
  <si>
    <t>TC_0040</t>
  </si>
  <si>
    <t>Verify show/hide password toggle on Login page</t>
  </si>
  <si>
    <t>User is on the Login page and has entered a password.</t>
  </si>
  <si>
    <t>1. Enter a password in the Password field.
2. Click the 'show password' (eye) icon.
3. Observe the field.
4. Click the icon again to hide the password.</t>
  </si>
  <si>
    <t>Clicking the icon toggles the password visibility between masked and plain text correctly.</t>
  </si>
  <si>
    <t>TC_0041</t>
  </si>
  <si>
    <t>Verify account lockout after multiple consecutive failed login attempts</t>
  </si>
  <si>
    <t>User has a registered account. Lockout threshold is 5 failed attempts.</t>
  </si>
  <si>
    <t>1. Attempt to log in with an incorrect password 5 times in a row.
2. Attempt a 6th login, even with the correct password.</t>
  </si>
  <si>
    <t>Email: testuser@example.com | Password: wrong (x5), then correct on 6th try</t>
  </si>
  <si>
    <t>After the 5th failed attempt the account is temporarily locked, and a message such as 'Account temporarily locked, please try again later' is displayed on the 6th attempt.</t>
  </si>
  <si>
    <t>TC_0042</t>
  </si>
  <si>
    <t>Verify failed login attempt counter resets after a successful login</t>
  </si>
  <si>
    <t>User has 2 prior failed login attempts recorded, below the lockout threshold.</t>
  </si>
  <si>
    <t>1. Enter valid credentials.
2. Click the Login button to log in successfully.
3. Log out.
4. Attempt to log in with an incorrect password once more.</t>
  </si>
  <si>
    <t>Email: testuser@example.com | Password: correct then one wrong attempt</t>
  </si>
  <si>
    <t>The failed attempt counter resets to zero after a successful login, and the single subsequent failed attempt does not trigger a lockout.</t>
  </si>
  <si>
    <t>Account was not locked after 5 failed attempts; 6th attempt with wrong password was still accepted as a retry without lockout message.</t>
  </si>
  <si>
    <t>BUG_002</t>
  </si>
  <si>
    <t>TC_0043</t>
  </si>
  <si>
    <t>Verify session expires after a period of user inactivity</t>
  </si>
  <si>
    <t>User is logged in and the configured session timeout is a fixed inactivity period.</t>
  </si>
  <si>
    <t>1. Log in successfully.
2. Remain inactive on the site for longer than the configured session timeout.
3. Attempt to perform an action requiring authentication (e.g., open My Account).</t>
  </si>
  <si>
    <t>Inactivity period exceeding the configured timeout</t>
  </si>
  <si>
    <t>The session has expired and the user is redirected to the Login page with a message indicating the session has timed out.</t>
  </si>
  <si>
    <t>Session Management</t>
  </si>
  <si>
    <t>TC_0044</t>
  </si>
  <si>
    <t>Verify user is redirected to the homepage after successful login</t>
  </si>
  <si>
    <t>User has a registered account and navigates directly to the Login page.</t>
  </si>
  <si>
    <t>1. Navigate directly to the Login page.
2. Enter valid credentials.
3. Click the Login button.</t>
  </si>
  <si>
    <t>The user is redirected to the homepage after successful authentication.</t>
  </si>
  <si>
    <t>TC_0045</t>
  </si>
  <si>
    <t>Verify user is redirected back to the originally requested page after login</t>
  </si>
  <si>
    <t>User attempts to access a restricted page (e.g., Checkout) while logged out.</t>
  </si>
  <si>
    <t>1. Attempt to navigate directly to the Checkout page while logged out.
2. The application redirects to the Login page.
3. Enter valid credentials and click Login.</t>
  </si>
  <si>
    <t>After successful login, the user is redirected to the originally requested Checkout page instead of the homepage.</t>
  </si>
  <si>
    <t>TC_0046</t>
  </si>
  <si>
    <t>Login with leading and trailing spaces in the Email field</t>
  </si>
  <si>
    <t>1. Enter the registered email address with leading and trailing spaces.
2. Enter the correct password.
3. Click the Login button.</t>
  </si>
  <si>
    <t>Email: '  testuser@example.com  ' | Password: ValidPassword123!</t>
  </si>
  <si>
    <t>The application trims the spaces and successfully authenticates the user.</t>
  </si>
  <si>
    <t>TC_0047</t>
  </si>
  <si>
    <t>Login with a password containing valid special characters</t>
  </si>
  <si>
    <t>User has a registered account whose password contains special characters.</t>
  </si>
  <si>
    <t>1. Enter the registered email address.
2. Enter the correct password containing special characters.
3. Click the Login button.</t>
  </si>
  <si>
    <t>Email: testuser@example.com | Password: P@ssw0rd#2024!</t>
  </si>
  <si>
    <t>The user is successfully authenticated.</t>
  </si>
  <si>
    <t>TC_0048</t>
  </si>
  <si>
    <t>Verify navigation to Forgot Password page from Login page</t>
  </si>
  <si>
    <t>1. Locate the 'Forgot Password?' link.
2. Click the link.</t>
  </si>
  <si>
    <t>The user is navigated to the Forgot Password page successfully.</t>
  </si>
  <si>
    <t>TC_0049</t>
  </si>
  <si>
    <t>Verify login session is shared correctly across multiple browser tabs</t>
  </si>
  <si>
    <t>User is logged in on one browser tab.</t>
  </si>
  <si>
    <t>1. Log in successfully in Tab 1.
2. Open a new tab (Tab 2) and navigate to the same site.
3. Check the account/login status in Tab 2.</t>
  </si>
  <si>
    <t>The user appears logged in on Tab 2 as well, without needing to log in again.</t>
  </si>
  <si>
    <t>TC_0050</t>
  </si>
  <si>
    <t>Verify an already logged-in user cannot access the Login page directly</t>
  </si>
  <si>
    <t>User is currently logged in.</t>
  </si>
  <si>
    <t>1. While logged in, manually navigate to the Login page URL.</t>
  </si>
  <si>
    <t>The user is automatically redirected to the homepage or account dashboard instead of seeing the Login form again.</t>
  </si>
  <si>
    <t>TC_0051</t>
  </si>
  <si>
    <t>Logout</t>
  </si>
  <si>
    <t>Logout from an active user session</t>
  </si>
  <si>
    <t>User is logged in with an active session.</t>
  </si>
  <si>
    <t>1. Click on the user account/profile menu.
2. Click the Logout option.</t>
  </si>
  <si>
    <t>The user is logged out successfully and the session is terminated.</t>
  </si>
  <si>
    <t>Logout terminated session; redirected to homepage.</t>
  </si>
  <si>
    <t>TC_0052</t>
  </si>
  <si>
    <t>Verify Logout option is visible only when a user is logged in</t>
  </si>
  <si>
    <t>User is not logged in (guest state).</t>
  </si>
  <si>
    <t>1. Navigate to the site as a guest.
2. Open the account/profile menu.</t>
  </si>
  <si>
    <t>The Logout option is not displayed for guest users; only Login/Register options are visible.</t>
  </si>
  <si>
    <t>TC_0053</t>
  </si>
  <si>
    <t>Verify user is redirected to the homepage/login page after logout</t>
  </si>
  <si>
    <t>User is logged in.</t>
  </si>
  <si>
    <t>1. Click the Logout option.
2. Observe the page the user lands on.</t>
  </si>
  <si>
    <t>The user is redirected to the homepage or login page immediately after logging out.</t>
  </si>
  <si>
    <t>TC_0054</t>
  </si>
  <si>
    <t>Verify the session is fully terminated after logout</t>
  </si>
  <si>
    <t>1. Click Logout.
2. Attempt to access a restricted page (e.g., My Account) via direct URL.</t>
  </si>
  <si>
    <t>The user is redirected to the Login page since the session token is no longer valid.</t>
  </si>
  <si>
    <t>TC_0055</t>
  </si>
  <si>
    <t>Verify using the browser Back button after logout does not restore the session</t>
  </si>
  <si>
    <t>User has just logged out.</t>
  </si>
  <si>
    <t>1. Log out of the application.
2. Click the browser's Back button.
3. Observe the resulting page and account state.</t>
  </si>
  <si>
    <t>The previous authenticated page is not restored from cache; the user remains logged out and is prompted to log in if trying to access restricted content.</t>
  </si>
  <si>
    <t>TC_0056</t>
  </si>
  <si>
    <t>Verify cart items persist correctly after logout for a logged-in user's account</t>
  </si>
  <si>
    <t>User is logged in and has added items to the cart.</t>
  </si>
  <si>
    <t>1. Add one or more products to the cart while logged in.
2. Click Logout.
3. Log back in with the same account.</t>
  </si>
  <si>
    <t>Cart contains 2 items before logout</t>
  </si>
  <si>
    <t>The cart items associated with the account are retained and reappear after the user logs back in.</t>
  </si>
  <si>
    <t>TC_0057</t>
  </si>
  <si>
    <t>Verify logging out from one browser tab terminates the session in all open tabs</t>
  </si>
  <si>
    <t>User is logged in and has the site open in two browser tabs.</t>
  </si>
  <si>
    <t>1. Log in and open the site in two tabs.
2. In Tab 1, click Logout.
3. Switch to Tab 2 and refresh or perform an authenticated action.</t>
  </si>
  <si>
    <t>Tab 2 also reflects the logged-out state and redirects to the Login page when an authenticated action is attempted.</t>
  </si>
  <si>
    <t>TC_0058</t>
  </si>
  <si>
    <t>Verify a confirmation or success indicator is shown after logout</t>
  </si>
  <si>
    <t>1. Click the Logout option.
2. Observe the resulting page/notification.</t>
  </si>
  <si>
    <t>A clear indication (message, banner, or visible Login/Register option) confirms the user has been logged out successfully.</t>
  </si>
  <si>
    <t>Blocked</t>
  </si>
  <si>
    <t>Unable to test — staging mail server is down, reset emails are not being delivered.</t>
  </si>
  <si>
    <t>2026-09-17</t>
  </si>
  <si>
    <t>TC_0059</t>
  </si>
  <si>
    <t>Attempt to trigger logout with an already-expired or invalid session token</t>
  </si>
  <si>
    <t>User's session token has already expired due to inactivity.</t>
  </si>
  <si>
    <t>1. Wait until the session naturally expires (or simulate an expired token).
2. Click the Logout option.</t>
  </si>
  <si>
    <t>Expired session token</t>
  </si>
  <si>
    <t>The application handles the request gracefully, redirecting to the Login page without displaying a technical error.</t>
  </si>
  <si>
    <t>Negative - Error Handling</t>
  </si>
  <si>
    <t>TC_0060</t>
  </si>
  <si>
    <t>Verify automatic logout occurs after the configured session timeout period</t>
  </si>
  <si>
    <t>User is logged in and remains inactive beyond the configured timeout.</t>
  </si>
  <si>
    <t>1. Log in successfully.
2. Leave the browser idle for longer than the session timeout duration.
3. Attempt to perform an action requiring authentication.</t>
  </si>
  <si>
    <t>Idle time exceeding configured timeout</t>
  </si>
  <si>
    <t>The user is automatically logged out and redirected to the Login page with a session-expired notice.</t>
  </si>
  <si>
    <t>TC_0061</t>
  </si>
  <si>
    <t>Verify re-login works correctly immediately after logout using the same credentials</t>
  </si>
  <si>
    <t>User has just logged out successfully.</t>
  </si>
  <si>
    <t>1. Log out of the application.
2. Navigate to the Login page.
3. Enter the same valid credentials used previously.
4. Click Login.</t>
  </si>
  <si>
    <t>The user is able to log back in successfully and is redirected to the homepage/dashboard.</t>
  </si>
  <si>
    <t>Regression Testing</t>
  </si>
  <si>
    <t>TC_0062</t>
  </si>
  <si>
    <t>Request password reset with a valid registered email</t>
  </si>
  <si>
    <t>User has a registered account and is on the Forgot Password page.</t>
  </si>
  <si>
    <t>1. Navigate to the Forgot Password page.
2. Enter a valid registered email address.
3. Click the Submit/Send Reset Link button.</t>
  </si>
  <si>
    <t>Email: testuser@example.com</t>
  </si>
  <si>
    <t>A success message is displayed indicating that a password reset link has been sent to the provided email address.</t>
  </si>
  <si>
    <t>TC_0063</t>
  </si>
  <si>
    <t>Request password reset with an unregistered email</t>
  </si>
  <si>
    <t>The email address entered is not associated with any account.</t>
  </si>
  <si>
    <t>1. Navigate to the Forgot Password page.
2. Enter an email address that is not registered.
3. Click the Submit button.</t>
  </si>
  <si>
    <t>Email: notregistered@example.com</t>
  </si>
  <si>
    <t>A generic message is displayed ('If an account exists with this email, a reset link has been sent') without confirming whether the account exists.</t>
  </si>
  <si>
    <t>Negative - Security Best Practice</t>
  </si>
  <si>
    <t>TC_0064</t>
  </si>
  <si>
    <t>Request password reset with an empty Email field</t>
  </si>
  <si>
    <t>User is on the Forgot Password page.</t>
  </si>
  <si>
    <t>1. Leave the Email field empty.
2. Click the Submit button.</t>
  </si>
  <si>
    <t>The request is blocked and a validation message 'Email is required' is displayed.</t>
  </si>
  <si>
    <t>TC_0065</t>
  </si>
  <si>
    <t>Request password reset with an invalid email format</t>
  </si>
  <si>
    <t>1. Enter an email address in an invalid format.
2. Click the Submit button.</t>
  </si>
  <si>
    <t>Email: testuserexample</t>
  </si>
  <si>
    <t>The request is blocked and a validation message 'Please enter a valid email address' is displayed.</t>
  </si>
  <si>
    <t>TC_0066</t>
  </si>
  <si>
    <t>Verify the password reset email is received within a reasonable time</t>
  </si>
  <si>
    <t>User has requested a password reset with a valid registered email.</t>
  </si>
  <si>
    <t>1. Submit a password reset request with a valid registered email.
2. Check the associated mailbox inbox (and spam folder).
3. Note the time taken for the email to arrive.</t>
  </si>
  <si>
    <t>The password reset email arrives in the inbox within an acceptable time frame (e.g., under 2 minutes).</t>
  </si>
  <si>
    <t>TC_0067</t>
  </si>
  <si>
    <t>Verify the content and formatting of the password reset email</t>
  </si>
  <si>
    <t>A password reset email has been received.</t>
  </si>
  <si>
    <t>1. Open the received password reset email.
2. Review the sender address, subject line, body text, and reset link/button.</t>
  </si>
  <si>
    <t>The email displays a professional, correctly formatted message with a clear call-to-action button/link and no broken content.</t>
  </si>
  <si>
    <t>TC_0068</t>
  </si>
  <si>
    <t>Verify clicking the reset link navigates to the Reset Password page</t>
  </si>
  <si>
    <t>A valid password reset email has been received.</t>
  </si>
  <si>
    <t>1. Open the password reset email.
2. Click the reset password link/button.</t>
  </si>
  <si>
    <t>The user is navigated to the Reset Password page where a new password can be entered.</t>
  </si>
  <si>
    <t>TC_0069</t>
  </si>
  <si>
    <t>Reset password with a valid new password</t>
  </si>
  <si>
    <t>User has clicked a valid, unexpired password reset link.</t>
  </si>
  <si>
    <t>1. On the Reset Password page, enter a new password meeting complexity rules.
2. Re-enter the same password in the Confirm Password field.
3. Click the Reset Password/Submit button.</t>
  </si>
  <si>
    <t>New Password: NewPass!456 | Confirm: NewPass!456</t>
  </si>
  <si>
    <t>The password is reset successfully and a confirmation message is displayed, prompting the user to log in with the new password.</t>
  </si>
  <si>
    <t>TC_0070</t>
  </si>
  <si>
    <t>Reset password using the same value as the current password</t>
  </si>
  <si>
    <t>User has clicked a valid password reset link. Current password is known.</t>
  </si>
  <si>
    <t>1. On the Reset Password page, enter the same password as the current/old one.
2. Confirm the same password.
3. Click Submit.</t>
  </si>
  <si>
    <t>New Password: OldPassword123! (same as current)</t>
  </si>
  <si>
    <t>The application blocks the request and displays a message such as 'New password must be different from the current password'.</t>
  </si>
  <si>
    <t>TC_0071</t>
  </si>
  <si>
    <t>Reset password with mismatched Confirm Password value</t>
  </si>
  <si>
    <t>User has clicked a valid password reset link.</t>
  </si>
  <si>
    <t>1. Enter a new password.
2. Enter a different value in the Confirm Password field.
3. Click Submit.</t>
  </si>
  <si>
    <t>New Password: NewPass!456 | Confirm: NewPass!789</t>
  </si>
  <si>
    <t>The request is blocked and a validation message 'Passwords do not match' is displayed.</t>
  </si>
  <si>
    <t>TC_0072</t>
  </si>
  <si>
    <t>Reset password with a new password shorter than the minimum length</t>
  </si>
  <si>
    <t>User has clicked a valid password reset link. Minimum length is 8 characters.</t>
  </si>
  <si>
    <t>1. Enter a new password with fewer than 8 characters.
2. Confirm the same short password.
3. Click Submit.</t>
  </si>
  <si>
    <t>New Password: Ab1! (4 characters)</t>
  </si>
  <si>
    <t>The request is blocked and a validation message 'Password must be at least 8 characters long' is displayed.</t>
  </si>
  <si>
    <t>TC_0073</t>
  </si>
  <si>
    <t>Reset password with a new password missing complexity requirements</t>
  </si>
  <si>
    <t>1. Enter a new password consisting only of lowercase letters.
2. Confirm the same password.
3. Click Submit.</t>
  </si>
  <si>
    <t>New Password: newpassword</t>
  </si>
  <si>
    <t>The request is blocked and a validation message describing the required complexity (uppercase, number, special character) is displayed.</t>
  </si>
  <si>
    <t>TC_0074</t>
  </si>
  <si>
    <t>Attempt to reuse an expired password reset link</t>
  </si>
  <si>
    <t>A password reset link was generated more than the allowed expiration window ago (e.g., 24 hours).</t>
  </si>
  <si>
    <t>1. Wait until the reset link has expired, or use a pre-expired test link.
2. Click the expired reset link.
3. Attempt to set a new password.</t>
  </si>
  <si>
    <t>Expired reset link/token</t>
  </si>
  <si>
    <t>The application displays a message 'This password reset link has expired' and prompts the user to request a new one.</t>
  </si>
  <si>
    <t>TC_0075</t>
  </si>
  <si>
    <t>Attempt to reuse an already-used password reset link</t>
  </si>
  <si>
    <t>A password reset link has already been successfully used once.</t>
  </si>
  <si>
    <t>1. Complete a password reset using a valid link.
2. Click the same reset link again.
3. Attempt to set another new password.</t>
  </si>
  <si>
    <t>Previously used reset link/token</t>
  </si>
  <si>
    <t>The application rejects the request with a message such as 'This link is no longer valid' since the token has already been consumed.</t>
  </si>
  <si>
    <t>TC_0076</t>
  </si>
  <si>
    <t>Attempt to access the Reset Password page with an invalid or tampered token</t>
  </si>
  <si>
    <t>No valid reset request has been made, or the token has been manually altered.</t>
  </si>
  <si>
    <t>1. Manually modify a portion of the reset link/token in the URL.
2. Navigate to the modified URL.</t>
  </si>
  <si>
    <t>Tampered token string</t>
  </si>
  <si>
    <t>The application rejects the invalid token and displays an appropriate error message without exposing sensitive details.</t>
  </si>
  <si>
    <t>New password accepted and login with new password succeeded.</t>
  </si>
  <si>
    <t>TC_0077</t>
  </si>
  <si>
    <t>Verify the password reset link expiration time is enforced correctly</t>
  </si>
  <si>
    <t>The system configuration specifies a fixed expiration window for reset links (e.g., 24 hours).</t>
  </si>
  <si>
    <t>1. Generate a password reset link.
2. Wait until just after the expiration window elapses.
3. Attempt to use the link.</t>
  </si>
  <si>
    <t>Reset link older than the configured expiration window</t>
  </si>
  <si>
    <t>The link is correctly identified as expired and the user is prompted to request a new reset email.</t>
  </si>
  <si>
    <t>TC_0078</t>
  </si>
  <si>
    <t>Verify successful login using the newly reset password</t>
  </si>
  <si>
    <t>The user has just completed a password reset successfully.</t>
  </si>
  <si>
    <t>1. Navigate to the Login page.
2. Enter the registered email address.
3. Enter the newly set password.
4. Click Login.</t>
  </si>
  <si>
    <t>Email: testuser@example.com | Password: NewPass!456</t>
  </si>
  <si>
    <t>The user is authenticated successfully using the new password and redirected to the homepage/dashboard.</t>
  </si>
  <si>
    <t>TC_0079</t>
  </si>
  <si>
    <t>Verify the old password is rejected after a successful password reset</t>
  </si>
  <si>
    <t>1. Navigate to the Login page.
2. Enter the registered email address.
3. Enter the old (previous) password.
4. Click Login.</t>
  </si>
  <si>
    <t>Email: testuser@example.com | Password: OldPassword123!</t>
  </si>
  <si>
    <t>Login is rejected with an 'Invalid email or password' message, confirming the old password is no longer valid.</t>
  </si>
  <si>
    <t>TC_0080</t>
  </si>
  <si>
    <t>Verify rate limiting when requesting multiple reset emails in quick succession</t>
  </si>
  <si>
    <t>1. Submit a password reset request.
2. Immediately submit the same request 4-5 more times in quick succession.</t>
  </si>
  <si>
    <t>Email: testuser@example.com submitted repeatedly</t>
  </si>
  <si>
    <t>After a defined threshold, the application throttles further requests and displays a message such as 'Please wait before requesting another reset email'.</t>
  </si>
  <si>
    <t>TC_0081</t>
  </si>
  <si>
    <t>Verify the 'Forgot Password' link is accessible from the Login page</t>
  </si>
  <si>
    <t>1. Locate the 'Forgot Password?' link on the Login page.
2. Click the link.</t>
  </si>
  <si>
    <t>The user is navigated to the Forgot Password page.</t>
  </si>
  <si>
    <t>TC_0082</t>
  </si>
  <si>
    <t>Verify Cancel/Back navigation from the Forgot Password page</t>
  </si>
  <si>
    <t>1. Click the Cancel/Back link or browser back navigation.
2. Observe the resulting page.</t>
  </si>
  <si>
    <t>The user is returned to the Login page (or previous page) without submitting a reset request.</t>
  </si>
  <si>
    <t>TC_0083</t>
  </si>
  <si>
    <t>Verify the new password field masks entered characters on the Reset Password page</t>
  </si>
  <si>
    <t>User has navigated to the Reset Password page via a valid link.</t>
  </si>
  <si>
    <t>1. Click into the New Password field.
2. Type a new password.
3. Observe the displayed characters.</t>
  </si>
  <si>
    <t>New Password: NewPass!456</t>
  </si>
  <si>
    <t>TC_0084</t>
  </si>
  <si>
    <t>Verify a success message is displayed after submitting a valid reset request</t>
  </si>
  <si>
    <t>1. Enter a valid registered email.
2. Click Submit.</t>
  </si>
  <si>
    <t>A clear, user-friendly success message confirming the email has been sent is displayed on screen.</t>
  </si>
  <si>
    <t>Exact keyword search returned the correct product at top of results.</t>
  </si>
  <si>
    <t>TC_0085</t>
  </si>
  <si>
    <t>Request password reset with an email containing leading/trailing spaces</t>
  </si>
  <si>
    <t>1. Enter the registered email address with leading and trailing spaces.
2. Click Submit.</t>
  </si>
  <si>
    <t>Email: '  testuser@example.com  '</t>
  </si>
  <si>
    <t>The application trims the spaces and processes the request successfully, sending the reset email.</t>
  </si>
  <si>
    <t>TC_0086</t>
  </si>
  <si>
    <t>Verify the reset request response does not reveal whether an email exists in the system</t>
  </si>
  <si>
    <t>1. Submit a reset request using a registered email and note the response message.
2. Submit a reset request using an unregistered email and compare the response message.</t>
  </si>
  <si>
    <t>Registered vs. unregistered email addresses</t>
  </si>
  <si>
    <t>Both requests return the same generic confirmation message, preventing user enumeration attacks.</t>
  </si>
  <si>
    <t>TC_0087</t>
  </si>
  <si>
    <t>Search</t>
  </si>
  <si>
    <t>Search using the exact product name</t>
  </si>
  <si>
    <t>Products exist in the catalog, e.g., 'Wireless Bluetooth Headphones'.</t>
  </si>
  <si>
    <t>1. Click on the Search bar.
2. Type the exact product name.
3. Press Enter or click the Search icon.</t>
  </si>
  <si>
    <t>Search term: Wireless Bluetooth Headphones</t>
  </si>
  <si>
    <t>The exact matching product is displayed at the top of the search results.</t>
  </si>
  <si>
    <t>TC_0088</t>
  </si>
  <si>
    <t>Search using a partial keyword</t>
  </si>
  <si>
    <t>Products containing the keyword exist in the catalog.</t>
  </si>
  <si>
    <t>1. Click on the Search bar.
2. Type a partial keyword from a product name.
3. Press Enter.</t>
  </si>
  <si>
    <t>Search term: 'headphone'</t>
  </si>
  <si>
    <t>All products whose name or description contains the keyword are displayed in the results.</t>
  </si>
  <si>
    <t>TC_0089</t>
  </si>
  <si>
    <t>Search with a keyword that has no matching products</t>
  </si>
  <si>
    <t>No product in the catalog matches the search term.</t>
  </si>
  <si>
    <t>1. Click on the Search bar.
2. Type a keyword that does not exist in the catalog.
3. Press Enter.</t>
  </si>
  <si>
    <t>Search term: 'xyzxyznotaproduct'</t>
  </si>
  <si>
    <t>A 'No results found' message is displayed along with helpful suggestions or related categories.</t>
  </si>
  <si>
    <t>Negative - Equivalence Partitioning</t>
  </si>
  <si>
    <t>TC_0090</t>
  </si>
  <si>
    <t>Search with an empty search field</t>
  </si>
  <si>
    <t>User is on any page with the search bar visible.</t>
  </si>
  <si>
    <t>1. Click on the Search bar without typing anything.
2. Press Enter or click the Search icon.</t>
  </si>
  <si>
    <t>Search term: (empty)</t>
  </si>
  <si>
    <t>The search is not executed, or the page displays a prompt asking the user to enter a search term; no error/crash occurs.</t>
  </si>
  <si>
    <t>No-match search showed 'No results found' with suggestions.</t>
  </si>
  <si>
    <t>TC_0091</t>
  </si>
  <si>
    <t>Search using special characters only</t>
  </si>
  <si>
    <t>User is on a page with the search bar.</t>
  </si>
  <si>
    <t>1. Click on the Search bar.
2. Type only special characters.
3. Press Enter.</t>
  </si>
  <si>
    <t>Search term: '@#$%^&amp;*'</t>
  </si>
  <si>
    <t>No results are found and a friendly 'No results found' message is displayed without any application error.</t>
  </si>
  <si>
    <t>TC_0092</t>
  </si>
  <si>
    <t>Search with a SQL injection payload</t>
  </si>
  <si>
    <t>1. Click on the Search bar.
2. Type a SQL injection payload.
3. Press Enter.</t>
  </si>
  <si>
    <t>Search term: ' OR '1'='1</t>
  </si>
  <si>
    <t>The input is safely handled as plain text with no results found or a validation message; no database error or data exposure occurs.</t>
  </si>
  <si>
    <t>TC_0093</t>
  </si>
  <si>
    <t>Search using different letter casing (case-insensitivity check)</t>
  </si>
  <si>
    <t>A product named 'Running Shoes' exists in the catalog.</t>
  </si>
  <si>
    <t>1. Click on the Search bar.
2. Type the product name in a different case, e.g., all uppercase.
3. Press Enter.</t>
  </si>
  <si>
    <t>Search term: 'RUNNING SHOES'</t>
  </si>
  <si>
    <t>The search returns the same results as searching with the original casing, confirming case-insensitive matching.</t>
  </si>
  <si>
    <t>TC_0094</t>
  </si>
  <si>
    <t>Search with leading and trailing spaces in the search term</t>
  </si>
  <si>
    <t>A product matching the keyword exists in the catalog.</t>
  </si>
  <si>
    <t>1. Click on the Search bar.
2. Type a valid keyword with leading and trailing spaces.
3. Press Enter.</t>
  </si>
  <si>
    <t>Search term: '   shoes   '</t>
  </si>
  <si>
    <t>The application trims the spaces and returns the same relevant results as a trimmed search.</t>
  </si>
  <si>
    <t>TC_0095</t>
  </si>
  <si>
    <t>Search with a single character (minimum boundary input)</t>
  </si>
  <si>
    <t>1. Click on the Search bar.
2. Type a single character.
3. Press Enter.</t>
  </si>
  <si>
    <t>Search term: 's'</t>
  </si>
  <si>
    <t>The application either returns broad matching results or displays a message requesting a more specific search term (based on defined minimum length rule).</t>
  </si>
  <si>
    <t>TC_0096</t>
  </si>
  <si>
    <t>Search with the maximum allowed number of characters</t>
  </si>
  <si>
    <t>The search field has a defined maximum character limit (e.g., 100 characters).</t>
  </si>
  <si>
    <t>1. Click on the Search bar.
2. Type a search term with exactly the maximum allowed characters.
3. Press Enter.</t>
  </si>
  <si>
    <t>Search term: 100-character string</t>
  </si>
  <si>
    <t>The search executes successfully without truncation errors or crashes.</t>
  </si>
  <si>
    <t>TC_0097</t>
  </si>
  <si>
    <t>Search exceeding the maximum allowed number of characters</t>
  </si>
  <si>
    <t>1. Click on the Search bar.
2. Type a search term exceeding the maximum allowed characters.
3. Press Enter.</t>
  </si>
  <si>
    <t>Search term: 101+ character string</t>
  </si>
  <si>
    <t>The input is either truncated at the limit or a validation message is displayed; no application error occurs.</t>
  </si>
  <si>
    <t>TC_0098</t>
  </si>
  <si>
    <t>Search using a numeric product SKU/code</t>
  </si>
  <si>
    <t>A product with a known SKU code exists in the catalog.</t>
  </si>
  <si>
    <t>1. Click on the Search bar.
2. Type the exact numeric SKU code of a product.
3. Press Enter.</t>
  </si>
  <si>
    <t>Search term: 'SKU-102345'</t>
  </si>
  <si>
    <t>The product matching the SKU code is displayed in the search results.</t>
  </si>
  <si>
    <t>TC_0099</t>
  </si>
  <si>
    <t>Search with a misspelled keyword to verify search suggestions</t>
  </si>
  <si>
    <t>A product named 'Bluetooth Speaker' exists in the catalog.</t>
  </si>
  <si>
    <t>1. Click on the Search bar.
2. Type a slightly misspelled version of the product name.
3. Press Enter.</t>
  </si>
  <si>
    <t>Search term: 'Blutooth Speeker'</t>
  </si>
  <si>
    <t>The application displays 'Did you mean...' suggestions or still returns relevant fuzzy-matched results.</t>
  </si>
  <si>
    <t>Usability Testing</t>
  </si>
  <si>
    <t>TC_0100</t>
  </si>
  <si>
    <t>Verify autocomplete suggestions appear while typing in the search bar</t>
  </si>
  <si>
    <t>The catalog contains products related to common keywords.</t>
  </si>
  <si>
    <t>1. Click on the Search bar.
2. Begin typing a partial keyword, pausing after a few characters.
3. Observe the suggestion dropdown.</t>
  </si>
  <si>
    <t>Search term (partial): 'lap'</t>
  </si>
  <si>
    <t>A dropdown list of relevant autocomplete suggestions (e.g., 'Laptop', 'Laptop Bag') appears in real time as the user types.</t>
  </si>
  <si>
    <t>Search with SQL injection payload returned a 500 server error instead of an empty result set.</t>
  </si>
  <si>
    <t>BUG_003</t>
  </si>
  <si>
    <t>TC_0101</t>
  </si>
  <si>
    <t>Verify search results can be filtered by category</t>
  </si>
  <si>
    <t>Search results contain products from multiple categories.</t>
  </si>
  <si>
    <t>1. Perform a broad search returning multiple categories of products.
2. Apply a category filter (e.g., 'Electronics') from the sidebar.
3. Observe the updated results.</t>
  </si>
  <si>
    <t>Search term: 'phone' | Filter: Electronics</t>
  </si>
  <si>
    <t>Only products belonging to the selected category are displayed in the filtered results.</t>
  </si>
  <si>
    <t>TC_0102</t>
  </si>
  <si>
    <t>Verify search results can be filtered by price range</t>
  </si>
  <si>
    <t>Search results contain products across a range of prices.</t>
  </si>
  <si>
    <t>1. Perform a search returning multiple products.
2. Apply a price range filter (e.g., $50-$100).
3. Observe the updated results.</t>
  </si>
  <si>
    <t>Search term: 'shoes' | Price filter: $50-$100</t>
  </si>
  <si>
    <t>Only products within the specified price range are displayed.</t>
  </si>
  <si>
    <t>TC_0103</t>
  </si>
  <si>
    <t>Verify search results can be sorted by price from low to high</t>
  </si>
  <si>
    <t>Search results contain multiple products at different prices.</t>
  </si>
  <si>
    <t>1. Perform a search returning multiple products.
2. Select the 'Price: Low to High' sort option.
3. Observe the order of results.</t>
  </si>
  <si>
    <t>Search term: 'shoes' | Sort: Price Low-High</t>
  </si>
  <si>
    <t>Products are displayed in ascending order of price.</t>
  </si>
  <si>
    <t>TC_0104</t>
  </si>
  <si>
    <t>Verify search results can be sorted by price from high to low</t>
  </si>
  <si>
    <t>1. Perform a search returning multiple products.
2. Select the 'Price: High to Low' sort option.
3. Observe the order of results.</t>
  </si>
  <si>
    <t>Search term: 'shoes' | Sort: Price High-Low</t>
  </si>
  <si>
    <t>Products are displayed in descending order of price.</t>
  </si>
  <si>
    <t>TC_0105</t>
  </si>
  <si>
    <t>Verify search results can be sorted by relevance/newest</t>
  </si>
  <si>
    <t>Search results contain multiple products with varying release dates.</t>
  </si>
  <si>
    <t>1. Perform a search returning multiple products.
2. Select the 'Newest' or 'Relevance' sort option.
3. Observe the order of results.</t>
  </si>
  <si>
    <t>Search term: 'headphones' | Sort: Newest</t>
  </si>
  <si>
    <t>Products are re-ordered correctly according to the selected sort criterion.</t>
  </si>
  <si>
    <t>TC_0106</t>
  </si>
  <si>
    <t>Verify pagination works correctly for search results with many matches</t>
  </si>
  <si>
    <t>A search term returns more results than fit on a single page.</t>
  </si>
  <si>
    <t>1. Perform a search that returns a large number of matching products.
2. Scroll to the pagination controls at the bottom of the results.
3. Click on page 2.</t>
  </si>
  <si>
    <t>Search term: 'shirt' (returns 50+ results)</t>
  </si>
  <si>
    <t>Page 2 loads the next set of results correctly without duplicating or omitting products, and pagination controls update accordingly.</t>
  </si>
  <si>
    <t>TC_0107</t>
  </si>
  <si>
    <t>Verify search response performance for a broad search term with a large result set</t>
  </si>
  <si>
    <t>The catalog contains a large number of products matching a broad keyword.</t>
  </si>
  <si>
    <t>1. Enter a broad, commonly matched keyword.
2. Submit the search.
3. Measure the time taken for results to load.</t>
  </si>
  <si>
    <t>Search term: 'shoes' (large result set)</t>
  </si>
  <si>
    <t>Search results load within an acceptable performance threshold (e.g., under 3 seconds) without timing out.</t>
  </si>
  <si>
    <t>Performance Testing</t>
  </si>
  <si>
    <t>TC_0108</t>
  </si>
  <si>
    <t>Verify the search bar is accessible and functional from every major page</t>
  </si>
  <si>
    <t>User navigates across multiple pages of the site (Home, Category, Product, Cart).</t>
  </si>
  <si>
    <t>1. Navigate to the Home page and confirm the search bar is visible and usable.
2. Repeat the check on a Category page, a Product Display page, and the Cart page.</t>
  </si>
  <si>
    <t>The search bar is consistently present, visible, and functional across all major pages of the site.</t>
  </si>
  <si>
    <t>TC_0109</t>
  </si>
  <si>
    <t>Add a single product to the compare list</t>
  </si>
  <si>
    <t>User is browsing the product catalog or category page.</t>
  </si>
  <si>
    <t>1. Locate a product card or product page.
2. Click the 'Add to Compare' icon/button.</t>
  </si>
  <si>
    <t>Product: Wireless Mouse A</t>
  </si>
  <si>
    <t>The product is added to the compare list and the compare icon/badge count increases to 1.</t>
  </si>
  <si>
    <t>TC_0110</t>
  </si>
  <si>
    <t>Add multiple products of the same category to the compare list</t>
  </si>
  <si>
    <t>User is browsing a category page with multiple similar products.</t>
  </si>
  <si>
    <t>1. Click 'Add to Compare' on Product A.
2. Click 'Add to Compare' on Product B.
3. Click 'Add to Compare' on Product C.
4. Navigate to the Compare page.</t>
  </si>
  <si>
    <t>Products: Mouse A, Mouse B, Mouse C</t>
  </si>
  <si>
    <t>All three products appear correctly side-by-side on the Compare page with accurate details for each.</t>
  </si>
  <si>
    <t>TC_0111</t>
  </si>
  <si>
    <t>Remove a product from the compare list</t>
  </si>
  <si>
    <t>At least one product has already been added to the compare list.</t>
  </si>
  <si>
    <t>1. Navigate to the Compare page.
2. Click the 'Remove' (X) icon on one of the compared products.</t>
  </si>
  <si>
    <t>Products in compare: Mouse A, Mouse B</t>
  </si>
  <si>
    <t>The selected product is removed from the compare list and the comparison table updates immediately.</t>
  </si>
  <si>
    <t>TC_0112</t>
  </si>
  <si>
    <t>Attempt to add more products than the maximum allowed to the compare list</t>
  </si>
  <si>
    <t>The maximum number of products allowed for comparison is 4, and 4 products are already added.</t>
  </si>
  <si>
    <t>1. Add 4 products to the compare list.
2. Attempt to add a 5th product to the compare list.</t>
  </si>
  <si>
    <t>5th product: Mouse E</t>
  </si>
  <si>
    <t>The application prevents adding the 5th product and displays a message such as 'You can compare up to 4 products only'.</t>
  </si>
  <si>
    <t>TC_0113</t>
  </si>
  <si>
    <t>Attempt to view comparison with only one product added</t>
  </si>
  <si>
    <t>Only a single product has been added to the compare list.</t>
  </si>
  <si>
    <t>1. Add only one product to the compare list.
2. Navigate to the Compare page.</t>
  </si>
  <si>
    <t>Products in compare: Mouse A</t>
  </si>
  <si>
    <t>A message prompts the user to add at least one more product to enable a meaningful comparison, or the single product is shown with a prompt to add more.</t>
  </si>
  <si>
    <t>TC_0114</t>
  </si>
  <si>
    <t>Attempt to add products from different categories to the compare list</t>
  </si>
  <si>
    <t>Products belong to unrelated categories (e.g., Electronics and Apparel).</t>
  </si>
  <si>
    <t>1. Add a product from the Electronics category to compare.
2. Attempt to add a product from the Apparel category to compare.</t>
  </si>
  <si>
    <t>Product 1: Bluetooth Speaker (Electronics) | Product 2: T-Shirt (Apparel)</t>
  </si>
  <si>
    <t>The application either blocks cross-category comparison with a clear message, or clearly separates the comparison per category, per the defined business rule.</t>
  </si>
  <si>
    <t>TC_0115</t>
  </si>
  <si>
    <t>Verify the compare list persists while navigating between pages</t>
  </si>
  <si>
    <t>Products have been added to the compare list.</t>
  </si>
  <si>
    <t>1. Add two products to the compare list.
2. Navigate to a different category page.
3. Navigate back to the Compare page.</t>
  </si>
  <si>
    <t>The previously added products remain in the compare list across page navigation within the same session.</t>
  </si>
  <si>
    <t>TC_0116</t>
  </si>
  <si>
    <t>Verify the compare list clears completely after clicking 'Clear All'</t>
  </si>
  <si>
    <t>Multiple products have been added to the compare list.</t>
  </si>
  <si>
    <t>1. Navigate to the Compare page with multiple products added.
2. Click the 'Clear All' button.</t>
  </si>
  <si>
    <t>Products in compare: Mouse A, Mouse B, Mouse C</t>
  </si>
  <si>
    <t>All products are removed from the compare list, the comparison table is emptied, and the compare badge resets to zero.</t>
  </si>
  <si>
    <t>TC_0117</t>
  </si>
  <si>
    <t>Verify the compare table displays product images correctly</t>
  </si>
  <si>
    <t>Products with valid images have been added to the compare list.</t>
  </si>
  <si>
    <t>1. Navigate to the Compare page with at least two products added.
2. Observe the product image column for each product.</t>
  </si>
  <si>
    <t>Each product's correct image is displayed clearly in its respective column of the comparison table.</t>
  </si>
  <si>
    <t>TC_0118</t>
  </si>
  <si>
    <t>Verify the compare table displays accurate product prices</t>
  </si>
  <si>
    <t>Products with different prices have been added to the compare list.</t>
  </si>
  <si>
    <t>1. Navigate to the Compare page.
2. Verify the displayed price for each product against the product detail page.</t>
  </si>
  <si>
    <t>The prices displayed in the compare table exactly match the prices shown on each product's detail page.</t>
  </si>
  <si>
    <t>Data Validation</t>
  </si>
  <si>
    <t>TC_0119</t>
  </si>
  <si>
    <t>Verify the compare table displays product specifications correctly</t>
  </si>
  <si>
    <t>Products with defined specifications have been added to the compare list.</t>
  </si>
  <si>
    <t>1. Navigate to the Compare page.
2. Review the specification rows (e.g., weight, dimensions, material) for each product.</t>
  </si>
  <si>
    <t>All specification attributes are displayed accurately and aligned correctly per product column.</t>
  </si>
  <si>
    <t>TC_0120</t>
  </si>
  <si>
    <t>Verify the compare table displays availability status for each product</t>
  </si>
  <si>
    <t>One in-stock and one out-of-stock product have been added to the compare list.</t>
  </si>
  <si>
    <t>1. Navigate to the Compare page with one in-stock and one out-of-stock product added.
2. Observe the availability row.</t>
  </si>
  <si>
    <t>Product A: In Stock | Product B: Out of Stock</t>
  </si>
  <si>
    <t>The correct availability status is displayed for each product respectively.</t>
  </si>
  <si>
    <t>TC_0121</t>
  </si>
  <si>
    <t>Verify the compare table displays ratings and review counts</t>
  </si>
  <si>
    <t>Products with customer ratings have been added to the compare list.</t>
  </si>
  <si>
    <t>1. Navigate to the Compare page.
2. Observe the ratings/reviews row for each product.</t>
  </si>
  <si>
    <t>The average rating and review count for each product are displayed accurately, matching the product detail page.</t>
  </si>
  <si>
    <t>TC_0122</t>
  </si>
  <si>
    <t>Add a product to the cart directly from the Compare page</t>
  </si>
  <si>
    <t>At least one product is displayed on the Compare page.</t>
  </si>
  <si>
    <t>1. Navigate to the Compare page with products added.
2. Click 'Add to Cart' for one of the compared products.</t>
  </si>
  <si>
    <t>Product: Mouse A</t>
  </si>
  <si>
    <t>The selected product is added to the shopping cart and the cart icon/count updates accordingly.</t>
  </si>
  <si>
    <t>Integration Testing</t>
  </si>
  <si>
    <t>TC_0123</t>
  </si>
  <si>
    <t>Add a product to the wishlist directly from the Compare page</t>
  </si>
  <si>
    <t>At least one product is displayed on the Compare page and the user is logged in.</t>
  </si>
  <si>
    <t>1. Navigate to the Compare page with products added.
2. Click 'Add to Wishlist' for one of the compared products.</t>
  </si>
  <si>
    <t>Product: Mouse B</t>
  </si>
  <si>
    <t>The selected product is added to the wishlist and the wishlist icon/count updates accordingly.</t>
  </si>
  <si>
    <t>TC_0124</t>
  </si>
  <si>
    <t>Verify the compare icon badge updates in real time as products are added/removed</t>
  </si>
  <si>
    <t>User is browsing the catalog with the compare icon visible in the header.</t>
  </si>
  <si>
    <t>1. Add one product to compare and observe the badge count.
2. Add a second product and observe the badge count.
3. Remove one product and observe the badge count.</t>
  </si>
  <si>
    <t>The compare icon badge count updates immediately and accurately after each add/remove action, without requiring a page refresh.</t>
  </si>
  <si>
    <t>TC_0125</t>
  </si>
  <si>
    <t>Remove all products individually from the Compare page</t>
  </si>
  <si>
    <t>Multiple products are on the Compare page.</t>
  </si>
  <si>
    <t>1. Navigate to the Compare page with 3 products added.
2. Click the remove icon on each product one at a time until none remain.</t>
  </si>
  <si>
    <t>Each removal updates the table correctly, and once all products are removed, an empty-state message is displayed.</t>
  </si>
  <si>
    <t>TC_0126</t>
  </si>
  <si>
    <t>Verify the compare list persists for a guest (non-logged-in) user within the same session</t>
  </si>
  <si>
    <t>User is browsing as a guest (not logged in).</t>
  </si>
  <si>
    <t>1. As a guest, add two products to the compare list.
2. Navigate to a different page and return to the Compare page.</t>
  </si>
  <si>
    <t>The compare list is retained for the guest user for the duration of the browser session.</t>
  </si>
  <si>
    <t>TC_0127</t>
  </si>
  <si>
    <t>Verify the compare list is scoped to the current browser session and does not leak across sessions</t>
  </si>
  <si>
    <t>Two different browser sessions/profiles are available.</t>
  </si>
  <si>
    <t>1. In Browser Session 1, add products to the compare list.
2. Open a separate/incognito browser session (Session 2) and check the compare list.</t>
  </si>
  <si>
    <t>The compare list from Session 1 is not visible in Session 2, confirming the list is session-scoped and not shared globally.</t>
  </si>
  <si>
    <t>TC_0128</t>
  </si>
  <si>
    <t>Navigate to a product's detail page from the Compare table</t>
  </si>
  <si>
    <t>1. Navigate to the Compare page.
2. Click on a product's name or image within the comparison table.</t>
  </si>
  <si>
    <t>The user is navigated to the full Product Display Page for the selected product.</t>
  </si>
  <si>
    <t>TC_0129</t>
  </si>
  <si>
    <t>Verify differing specifications between compared products are visually highlighted</t>
  </si>
  <si>
    <t>Two or more products with differing specification values have been added to the compare list.</t>
  </si>
  <si>
    <t>1. Navigate to the Compare page with products that differ in at least one specification.
2. Observe the specification rows for visual highlighting of differences.</t>
  </si>
  <si>
    <t>Product A weight: 120g | Product B weight: 150g</t>
  </si>
  <si>
    <t>Rows where specification values differ between products are visually highlighted to aid quick comparison.</t>
  </si>
  <si>
    <t>TC_0130</t>
  </si>
  <si>
    <t>Verify the compare badge resets to zero after removing the last remaining product</t>
  </si>
  <si>
    <t>Exactly one product remains in the compare list.</t>
  </si>
  <si>
    <t>1. Ensure only one product remains in the compare list.
2. Remove that final product from the compare list.</t>
  </si>
  <si>
    <t>Products in compare: Mouse A (only one)</t>
  </si>
  <si>
    <t>The compare badge count resets to zero (or is hidden) once the list is empty.</t>
  </si>
  <si>
    <t>Compare list correctly capped at 4 products with warning message.</t>
  </si>
  <si>
    <t>2026-09-18</t>
  </si>
  <si>
    <t>TC_0131</t>
  </si>
  <si>
    <t>Verify the compare table renders responsively on smaller screen sizes</t>
  </si>
  <si>
    <t>The Compare page contains multiple products.</t>
  </si>
  <si>
    <t>1. Add 2-3 products to the compare list.
2. Resize the browser window or open the Compare page on a tablet/mobile viewport.</t>
  </si>
  <si>
    <t>Viewport: 375px width (mobile)</t>
  </si>
  <si>
    <t>The comparison table adapts responsively (e.g., via horizontal scroll or stacked layout) without breaking the layout or hiding key information.</t>
  </si>
  <si>
    <t>Compatibility Testing</t>
  </si>
  <si>
    <t>TC_0132</t>
  </si>
  <si>
    <t>Attempt to add an out-of-stock product to the compare list</t>
  </si>
  <si>
    <t>An out-of-stock product exists in the catalog.</t>
  </si>
  <si>
    <t>1. Locate an out-of-stock product.
2. Click 'Add to Compare' for that product.</t>
  </si>
  <si>
    <t>Product: Discontinued Speaker (Out of Stock)</t>
  </si>
  <si>
    <t>The out-of-stock product is added to the compare list and its unavailability is clearly indicated, per the defined business rule.</t>
  </si>
  <si>
    <t>TC_0133</t>
  </si>
  <si>
    <t>Verify the product name is displayed correctly on the Product Display Page</t>
  </si>
  <si>
    <t>A published product exists in the catalog.</t>
  </si>
  <si>
    <t>1. Navigate to the Product Display Page (PDP) of a specific product.
2. Verify the product name shown matches the catalog/admin record.</t>
  </si>
  <si>
    <t>Product: 'Men's Running Shoes - Model X'</t>
  </si>
  <si>
    <t>The product name is displayed accurately and completely, matching the catalog data.</t>
  </si>
  <si>
    <t>TC_0134</t>
  </si>
  <si>
    <t>Verify the product price is displayed correctly on the PDP</t>
  </si>
  <si>
    <t>A published product with a defined price exists in the catalog.</t>
  </si>
  <si>
    <t>1. Navigate to the PDP.
2. Verify the displayed price matches the price configured in the admin/catalog.</t>
  </si>
  <si>
    <t>Product price: $59.99</t>
  </si>
  <si>
    <t>The correct price, currency symbol, and formatting are displayed accurately.</t>
  </si>
  <si>
    <t>TC_0135</t>
  </si>
  <si>
    <t>Verify both discounted price and original (strikethrough) price are shown for a product on sale</t>
  </si>
  <si>
    <t>A product has an active discount configured.</t>
  </si>
  <si>
    <t>1. Navigate to the PDP of a discounted product.
2. Observe the pricing section.</t>
  </si>
  <si>
    <t>Original price: $79.99 | Discounted price: $59.99</t>
  </si>
  <si>
    <t>The original price is shown with a strikethrough alongside the discounted price, and the discount percentage/amount is indicated.</t>
  </si>
  <si>
    <t>TC_0136</t>
  </si>
  <si>
    <t>Verify the main product image is displayed correctly</t>
  </si>
  <si>
    <t>A product with an uploaded main image exists.</t>
  </si>
  <si>
    <t>1. Navigate to the PDP.
2. Observe the main product image area.</t>
  </si>
  <si>
    <t>The correct, high-quality main image for the product loads and displays without broken links or placeholder icons.</t>
  </si>
  <si>
    <t>TC_0137</t>
  </si>
  <si>
    <t>Verify the product image gallery/thumbnails function correctly</t>
  </si>
  <si>
    <t>A product with multiple images exists.</t>
  </si>
  <si>
    <t>1. Navigate to the PDP of a product with multiple images.
2. Click on each thumbnail image in the gallery.</t>
  </si>
  <si>
    <t>Clicking each thumbnail updates the main image display to the corresponding image without errors.</t>
  </si>
  <si>
    <t>TC_0138</t>
  </si>
  <si>
    <t>Verify the image zoom functionality works correctly on hover/click</t>
  </si>
  <si>
    <t>A product with a high-resolution image exists.</t>
  </si>
  <si>
    <t>1. Navigate to the PDP.
2. Hover over (or tap, on touch devices) the main product image.</t>
  </si>
  <si>
    <t>A magnified/zoomed view of the image is displayed clearly, allowing the user to inspect product details.</t>
  </si>
  <si>
    <t>TC_0139</t>
  </si>
  <si>
    <t>Verify the full product description is displayed correctly</t>
  </si>
  <si>
    <t>A product with a detailed description exists.</t>
  </si>
  <si>
    <t>1. Navigate to the PDP.
2. Scroll to the product description section.
3. Verify the full text is displayed without truncation errors.</t>
  </si>
  <si>
    <t>The complete product description is displayed accurately, matching the catalog content, with proper formatting.</t>
  </si>
  <si>
    <t>TC_0140</t>
  </si>
  <si>
    <t>Verify the SKU/product code is displayed on the PDP</t>
  </si>
  <si>
    <t>A product has a defined SKU code.</t>
  </si>
  <si>
    <t>1. Navigate to the PDP.
2. Locate the SKU/product code field.</t>
  </si>
  <si>
    <t>SKU: SKU-102345</t>
  </si>
  <si>
    <t>The correct SKU/product code is displayed accurately near the product details.</t>
  </si>
  <si>
    <t>TC_0141</t>
  </si>
  <si>
    <t>Verify an in-stock product displays the correct availability status</t>
  </si>
  <si>
    <t>A product with available stock exists.</t>
  </si>
  <si>
    <t>1. Navigate to the PDP of an in-stock product.
2. Observe the availability indicator.</t>
  </si>
  <si>
    <t>Stock: 25 units available</t>
  </si>
  <si>
    <t>The page clearly displays an 'In Stock' status.</t>
  </si>
  <si>
    <t>TC_0142</t>
  </si>
  <si>
    <t>Verify an out-of-stock product displays the correct availability status</t>
  </si>
  <si>
    <t>A product with zero available stock exists.</t>
  </si>
  <si>
    <t>1. Navigate to the PDP of an out-of-stock product.
2. Observe the availability indicator.</t>
  </si>
  <si>
    <t>Stock: 0 units</t>
  </si>
  <si>
    <t>The page clearly displays an 'Out of Stock' status.</t>
  </si>
  <si>
    <t>TC_0143</t>
  </si>
  <si>
    <t>Verify the Add to Cart button is disabled for an out-of-stock product</t>
  </si>
  <si>
    <t>An out-of-stock product's PDP is open.</t>
  </si>
  <si>
    <t>1. Navigate to the PDP of an out-of-stock product.
2. Observe the state of the Add to Cart button.
3. Attempt to click the Add to Cart button.</t>
  </si>
  <si>
    <t>The Add to Cart button is disabled (or replaced with a 'Notify Me' option) and cannot be clicked to add the product to the cart.</t>
  </si>
  <si>
    <t>TC_0144</t>
  </si>
  <si>
    <t>Verify selecting a product variant (Size) updates the page correctly</t>
  </si>
  <si>
    <t>A product with multiple size variants exists.</t>
  </si>
  <si>
    <t>1. Navigate to the PDP of a product with size options.
2. Select a different size from the size selector.</t>
  </si>
  <si>
    <t>Sizes available: S, M, L, XL | Selected: L</t>
  </si>
  <si>
    <t>The selected size is highlighted, and the price/availability/image updates if applicable to reflect the chosen variant.</t>
  </si>
  <si>
    <t>TC_0145</t>
  </si>
  <si>
    <t>Verify selecting a product variant (Color) updates the page correctly</t>
  </si>
  <si>
    <t>A product with multiple color variants exists.</t>
  </si>
  <si>
    <t>1. Navigate to the PDP of a product with color options.
2. Select a different color swatch.</t>
  </si>
  <si>
    <t>Colors available: Black, Red, Blue | Selected: Red</t>
  </si>
  <si>
    <t>The selected color is highlighted and the main image updates to display the product in the chosen color.</t>
  </si>
  <si>
    <t>TC_0146</t>
  </si>
  <si>
    <t>Verify selecting an unavailable size/color combination is handled correctly</t>
  </si>
  <si>
    <t>A product has a variant combination that is out of stock (e.g., Red in size XL).</t>
  </si>
  <si>
    <t>1. Navigate to the PDP.
2. Select Color: Red.
3. Select Size: XL (unavailable combination).</t>
  </si>
  <si>
    <t>Color: Red | Size: XL (out of stock combination)</t>
  </si>
  <si>
    <t>The unavailable combination is clearly indicated (e.g., grayed out or an 'Out of Stock' message), and Add to Cart is disabled for that combination.</t>
  </si>
  <si>
    <t>TC_0147</t>
  </si>
  <si>
    <t>Verify the quantity selector defaults to 1 on page load</t>
  </si>
  <si>
    <t>A product's PDP is opened for the first time.</t>
  </si>
  <si>
    <t>1. Navigate to the PDP.
2. Observe the default value in the quantity field.</t>
  </si>
  <si>
    <t>The quantity selector displays a default value of 1.</t>
  </si>
  <si>
    <t>TC_0148</t>
  </si>
  <si>
    <t>Verify the quantity increment and decrement buttons function correctly</t>
  </si>
  <si>
    <t>A product's PDP is open with the quantity selector visible.</t>
  </si>
  <si>
    <t>1. Click the increment (+) button three times.
2. Click the decrement (-) button once.
3. Observe the resulting quantity value.</t>
  </si>
  <si>
    <t>Starting quantity: 1</t>
  </si>
  <si>
    <t>The quantity updates correctly step by step: 1→2→3→4 after increments, then 4→3 after one decrement.</t>
  </si>
  <si>
    <t>TC_0149</t>
  </si>
  <si>
    <t>Verify the quantity selector cannot go below the minimum boundary value of 1</t>
  </si>
  <si>
    <t>The quantity selector is currently set to 1.</t>
  </si>
  <si>
    <t>1. Set the quantity to 1.
2. Click the decrement (-) button.</t>
  </si>
  <si>
    <t>Quantity: 1</t>
  </si>
  <si>
    <t>The quantity remains at 1 (the minimum), and the decrement button becomes disabled or has no further effect.</t>
  </si>
  <si>
    <t>TC_0150</t>
  </si>
  <si>
    <t>Verify the quantity selector respects the maximum available stock as an upper boundary</t>
  </si>
  <si>
    <t>A product has exactly 5 units in stock.</t>
  </si>
  <si>
    <t>1. Navigate to the PDP of a product with 5 units in stock.
2. Increment the quantity selector beyond 5.</t>
  </si>
  <si>
    <t>Available stock: 5 units</t>
  </si>
  <si>
    <t>The quantity selector prevents exceeding 5, or displays a warning message when the limit is reached.</t>
  </si>
  <si>
    <t>Product name, price, and stock status displayed accurately on PDP.</t>
  </si>
  <si>
    <t>TC_0151</t>
  </si>
  <si>
    <t>Verify entering a quantity greater than available stock via manual input is handled correctly</t>
  </si>
  <si>
    <t>A product has 5 units in stock.</t>
  </si>
  <si>
    <t>1. Manually type a quantity value greater than 5 into the quantity input field.
2. Attempt to click Add to Cart.</t>
  </si>
  <si>
    <t>Entered quantity: 10 | Available stock: 5</t>
  </si>
  <si>
    <t>An error/warning message is displayed indicating the requested quantity exceeds available stock, and the cart is not updated with the invalid amount.</t>
  </si>
  <si>
    <t>TC_0152</t>
  </si>
  <si>
    <t>Verify entering zero or a negative quantity is rejected</t>
  </si>
  <si>
    <t>The quantity input field allows manual entry.</t>
  </si>
  <si>
    <t>1. Manually enter 0 into the quantity field.
2. Attempt to click Add to Cart.
3. Repeat with a negative number (e.g., -1).</t>
  </si>
  <si>
    <t>Entered quantity: 0, then -1</t>
  </si>
  <si>
    <t>The application rejects the invalid quantity, reverting to the minimum valid value of 1 and/or displaying a validation message.</t>
  </si>
  <si>
    <t>Negative - Boundary Value Analysis</t>
  </si>
  <si>
    <t>TC_0153</t>
  </si>
  <si>
    <t>Verify entering a non-numeric value in the quantity field is rejected</t>
  </si>
  <si>
    <t>1. Manually type non-numeric characters into the quantity field.
2. Attempt to click Add to Cart.</t>
  </si>
  <si>
    <t>Entered quantity: 'abc'</t>
  </si>
  <si>
    <t>The field rejects non-numeric input, either preventing the characters from being entered or displaying a validation error.</t>
  </si>
  <si>
    <t>TC_0154</t>
  </si>
  <si>
    <t>Verify customer reviews and average rating are displayed correctly on the PDP</t>
  </si>
  <si>
    <t>A product has existing customer reviews and ratings.</t>
  </si>
  <si>
    <t>1. Navigate to the PDP of a product with reviews.
2. Scroll to the Reviews section.</t>
  </si>
  <si>
    <t>Existing reviews, star ratings, and reviewer names/dates are displayed accurately, matching the stored review data.</t>
  </si>
  <si>
    <t>TC_0155</t>
  </si>
  <si>
    <t>Verify a logged-in user can submit a new product review</t>
  </si>
  <si>
    <t>User is logged in and has the option to submit a review on the PDP.</t>
  </si>
  <si>
    <t>1. Log in with a valid account.
2. Navigate to the PDP.
3. Scroll to the review submission form.
4. Enter a rating and review text, then submit.</t>
  </si>
  <si>
    <t>Rating: 4 stars | Review: 'Great quality and fast delivery.'</t>
  </si>
  <si>
    <t>The review is submitted successfully and appears in the reviews section (immediately or after moderation, per business rule).</t>
  </si>
  <si>
    <t>TC_0156</t>
  </si>
  <si>
    <t>Verify submitting a product review requires the user to be logged in</t>
  </si>
  <si>
    <t>User is browsing the PDP as a guest (not logged in).</t>
  </si>
  <si>
    <t>1. As a guest, navigate to the PDP.
2. Attempt to submit a product review.</t>
  </si>
  <si>
    <t>The user is prompted to log in or register before being able to submit a review.</t>
  </si>
  <si>
    <t>Authorization Testing</t>
  </si>
  <si>
    <t>TC_0157</t>
  </si>
  <si>
    <t>Verify the average rating displayed is calculated accurately based on individual reviews</t>
  </si>
  <si>
    <t>A product has multiple reviews with known individual ratings.</t>
  </si>
  <si>
    <t>1. Navigate to the PDP of a product with reviews rated 5, 4, and 3 stars.
2. Verify the displayed average rating.</t>
  </si>
  <si>
    <t>Reviews: 5, 4, 3 stars</t>
  </si>
  <si>
    <t>The displayed average rating (4.0 stars) accurately reflects the mathematical average of all submitted ratings.</t>
  </si>
  <si>
    <t>TC_0158</t>
  </si>
  <si>
    <t>Verify the 'Related Products' section displays relevant items</t>
  </si>
  <si>
    <t>A product has related/associated products configured.</t>
  </si>
  <si>
    <t>1. Navigate to the PDP of a product with configured related items.
2. Scroll to the 'Related Products' or 'You May Also Like' section.</t>
  </si>
  <si>
    <t>Relevant related products (same category or complementary items) are displayed with accurate images, names, and prices.</t>
  </si>
  <si>
    <t>TC_0159</t>
  </si>
  <si>
    <t>Verify the 'Recently Viewed' products section updates correctly</t>
  </si>
  <si>
    <t>User has viewed multiple products in the current browsing session.</t>
  </si>
  <si>
    <t>1. View Product A's PDP.
2. View Product B's PDP.
3. Return to Product A's PDP and scroll to the 'Recently Viewed' section.</t>
  </si>
  <si>
    <t>Products viewed: A, B</t>
  </si>
  <si>
    <t>The 'Recently Viewed' section correctly displays Product B (and other recently viewed items), excluding the currently viewed product.</t>
  </si>
  <si>
    <t>TC_0160</t>
  </si>
  <si>
    <t>Verify clicking Add to Cart from the PDP adds the correct product and quantity</t>
  </si>
  <si>
    <t>A product's PDP is open with a selected quantity and variant.</t>
  </si>
  <si>
    <t>1. Select the desired variant and quantity.
2. Click the Add to Cart button.
3. Open the cart to verify.</t>
  </si>
  <si>
    <t>Product: Running Shoes, Size: L, Quantity: 2</t>
  </si>
  <si>
    <t>The correct product, variant, and quantity are added to the cart, and the cart icon updates accordingly.</t>
  </si>
  <si>
    <t>Out-of-stock product correctly disabled the Add to Cart button.</t>
  </si>
  <si>
    <t>TC_0161</t>
  </si>
  <si>
    <t>Verify clicking Add to Wishlist from the PDP adds the product correctly</t>
  </si>
  <si>
    <t>User is logged in and viewing a product's PDP.</t>
  </si>
  <si>
    <t>1. Log in with a valid account.
2. Navigate to the PDP.
3. Click the Add to Wishlist icon.</t>
  </si>
  <si>
    <t>Product: Running Shoes</t>
  </si>
  <si>
    <t>The product is added to the wishlist and the wishlist icon/count updates accordingly.</t>
  </si>
  <si>
    <t>TC_0162</t>
  </si>
  <si>
    <t>Verify clicking Add to Compare from the PDP adds the product correctly</t>
  </si>
  <si>
    <t>User is viewing a product's PDP.</t>
  </si>
  <si>
    <t>1. Navigate to the PDP.
2. Click the Add to Compare icon.</t>
  </si>
  <si>
    <t>The product is added to the compare list and the compare icon/count updates accordingly.</t>
  </si>
  <si>
    <t>TC_0163</t>
  </si>
  <si>
    <t>Verify breadcrumb navigation displays the correct category path on the PDP</t>
  </si>
  <si>
    <t>A product belongs to a defined category and subcategory.</t>
  </si>
  <si>
    <t>1. Navigate to the PDP of a product within a known category path.
2. Observe the breadcrumb trail at the top of the page.</t>
  </si>
  <si>
    <t>Category path: Home &gt; Men &gt; Shoes &gt; Running Shoes</t>
  </si>
  <si>
    <t>The breadcrumb accurately reflects the product's category hierarchy and each segment is clickable.</t>
  </si>
  <si>
    <t>TC_0164</t>
  </si>
  <si>
    <t>Verify clicking a breadcrumb link navigates back to the correct category/listing page</t>
  </si>
  <si>
    <t>The PDP displays a breadcrumb trail.</t>
  </si>
  <si>
    <t>1. Navigate to the PDP.
2. Click the 'Shoes' segment in the breadcrumb trail.</t>
  </si>
  <si>
    <t>Breadcrumb segment: 'Shoes'</t>
  </si>
  <si>
    <t>The user is navigated to the Shoes category listing page, displaying all products in that category.</t>
  </si>
  <si>
    <t>TC_0165</t>
  </si>
  <si>
    <t>Verify social share buttons on the PDP function correctly</t>
  </si>
  <si>
    <t>The PDP includes social share icons (e.g., Facebook, Twitter/X).</t>
  </si>
  <si>
    <t>1. Navigate to the PDP.
2. Click a social share icon (e.g., Facebook).</t>
  </si>
  <si>
    <t>A share dialog/popup opens for the selected platform, pre-populated with the correct product link and title.</t>
  </si>
  <si>
    <t>TC_0166</t>
  </si>
  <si>
    <t>Verify accessing an invalid or non-existent product URL displays an appropriate error page</t>
  </si>
  <si>
    <t>No product exists with the given product ID/slug.</t>
  </si>
  <si>
    <t>1. Manually navigate to a product URL using an invalid/non-existent product ID.</t>
  </si>
  <si>
    <t>URL: /product/999999-invalid</t>
  </si>
  <si>
    <t>A user-friendly 404/'Product Not Found' page is displayed instead of a technical error or blank page.</t>
  </si>
  <si>
    <t>TC_0167</t>
  </si>
  <si>
    <t>Verify accessing a deleted or discontinued product's page is handled gracefully</t>
  </si>
  <si>
    <t>A product has been removed/discontinued from the catalog after being previously indexed/bookmarked.</t>
  </si>
  <si>
    <t>1. Navigate to the URL of a product that has since been deleted or discontinued.</t>
  </si>
  <si>
    <t>Previously valid, now-removed product URL</t>
  </si>
  <si>
    <t>A clear message indicates the product is no longer available, optionally suggesting similar/related products, without a technical error.</t>
  </si>
  <si>
    <t>TC_0168</t>
  </si>
  <si>
    <t>Verify the Product Display Page renders responsively on mobile devices</t>
  </si>
  <si>
    <t>A product's PDP is accessible.</t>
  </si>
  <si>
    <t>1. Open the PDP on a mobile device or using a mobile viewport emulator.
2. Verify layout, images, and buttons render correctly and are usable.</t>
  </si>
  <si>
    <t>All PDP elements (images, price, Add to Cart, description) render correctly and remain fully usable on a mobile screen size.</t>
  </si>
  <si>
    <t>TC_0169</t>
  </si>
  <si>
    <t>Verify the PDP loads within an acceptable time frame despite high-resolution images</t>
  </si>
  <si>
    <t>A product has several high-resolution images in its gallery.</t>
  </si>
  <si>
    <t>1. Navigate to the PDP of a product with high-resolution images.
2. Measure the page load time using browser developer tools.</t>
  </si>
  <si>
    <t>The page loads within an acceptable performance threshold (e.g., under 3 seconds), with images optimized/lazy-loaded as needed.</t>
  </si>
  <si>
    <t>TC_0170</t>
  </si>
  <si>
    <t>Add a single in-stock product to the cart from the category listing page</t>
  </si>
  <si>
    <t>An in-stock product is visible on the category listing page.</t>
  </si>
  <si>
    <t>1. Navigate to a category listing page.
2. Click the 'Add to Cart' button on a product card.</t>
  </si>
  <si>
    <t>Product: Wireless Mouse | Stock: available</t>
  </si>
  <si>
    <t>The product is added to the cart with quantity 1, and the cart icon count updates immediately.</t>
  </si>
  <si>
    <t>TC_0171</t>
  </si>
  <si>
    <t>Add a product with a selected variant to the cart</t>
  </si>
  <si>
    <t>A product with size/color variants is available.</t>
  </si>
  <si>
    <t>1. Navigate to the PDP of a product with variants.
2. Select a specific size and color.
3. Click Add to Cart.</t>
  </si>
  <si>
    <t>Product: T-Shirt | Size: M | Color: Blue</t>
  </si>
  <si>
    <t>The product is added to the cart with the exact selected variant combination reflected in the cart line item.</t>
  </si>
  <si>
    <t>TC_0172</t>
  </si>
  <si>
    <t>Attempt to add a product with quantity exceeding available stock</t>
  </si>
  <si>
    <t>A product has 3 units in stock.</t>
  </si>
  <si>
    <t>1. Navigate to the PDP.
2. Set the quantity to a value greater than 3 (e.g., 5).
3. Click Add to Cart.</t>
  </si>
  <si>
    <t>Available stock: 3 | Requested quantity: 5</t>
  </si>
  <si>
    <t>The application displays an error/warning that the requested quantity exceeds available stock, and does not add the invalid quantity to the cart.</t>
  </si>
  <si>
    <t>TC_0173</t>
  </si>
  <si>
    <t>Attempt to add an out-of-stock product to the cart</t>
  </si>
  <si>
    <t>A product's stock level is zero.</t>
  </si>
  <si>
    <t>1. Navigate to the PDP of an out-of-stock product.
2. Attempt to click the Add to Cart button (if not fully disabled).</t>
  </si>
  <si>
    <t>The product cannot be added to the cart; the Add to Cart action is blocked or the button is disabled with an 'Out of Stock' label.</t>
  </si>
  <si>
    <t>TC_0174</t>
  </si>
  <si>
    <t>Attempt to add a variant product to the cart without selecting a required option</t>
  </si>
  <si>
    <t>A product requires a mandatory size selection before it can be purchased.</t>
  </si>
  <si>
    <t>1. Navigate to the PDP of a product requiring size selection.
2. Without selecting a size, click Add to Cart.</t>
  </si>
  <si>
    <t>Size: not selected</t>
  </si>
  <si>
    <t>The application blocks the action and displays a validation message such as 'Please select a size before adding to cart'.</t>
  </si>
  <si>
    <t>TC_0175</t>
  </si>
  <si>
    <t>Verify the cart icon count updates immediately after adding a product</t>
  </si>
  <si>
    <t>The cart is currently empty and the cart icon shows 0.</t>
  </si>
  <si>
    <t>1. Note the current cart icon count (0).
2. Add a product to the cart.
3. Observe the cart icon count without refreshing the page.</t>
  </si>
  <si>
    <t>The cart icon count updates immediately to 1 without requiring a manual page refresh.</t>
  </si>
  <si>
    <t>TC_0176</t>
  </si>
  <si>
    <t>Verify adding the same product multiple times accumulates the quantity correctly</t>
  </si>
  <si>
    <t>A product is already in the cart with quantity 1.</t>
  </si>
  <si>
    <t>1. Add Product A to the cart (quantity 1).
2. Navigate back to Product A's PDP and add it to the cart again (quantity 1).
3. Open the cart to verify.</t>
  </si>
  <si>
    <t>Product A added twice, quantity 1 each time</t>
  </si>
  <si>
    <t>The cart displays a single line item for Product A with an accumulated quantity of 2, rather than two separate line items.</t>
  </si>
  <si>
    <t>TC_0177</t>
  </si>
  <si>
    <t>Add a product to the cart as a guest (non-logged-in) user</t>
  </si>
  <si>
    <t>User is browsing the site without being logged in.</t>
  </si>
  <si>
    <t>1. As a guest, navigate to any product's PDP.
2. Click Add to Cart.</t>
  </si>
  <si>
    <t>Product: Wireless Mouse</t>
  </si>
  <si>
    <t>The product is successfully added to a guest session cart without requiring login.</t>
  </si>
  <si>
    <t>TC_0178</t>
  </si>
  <si>
    <t>Verify a confirmation message or mini-cart preview appears after adding a product to the cart</t>
  </si>
  <si>
    <t>User is on a product's PDP or listing page.</t>
  </si>
  <si>
    <t>1. Click Add to Cart on any available product.
2. Observe the resulting UI feedback.</t>
  </si>
  <si>
    <t>A confirmation message or mini-cart preview/drawer appears, summarizing the added product, quantity, and updated cart total.</t>
  </si>
  <si>
    <t>TC_0179</t>
  </si>
  <si>
    <t>Add a product to the wishlist as a logged-in user</t>
  </si>
  <si>
    <t>User is logged in and viewing a product.</t>
  </si>
  <si>
    <t>1. Log in with a valid account.
2. Navigate to a product's PDP or listing card.
3. Click the 'Add to Wishlist' (heart) icon.</t>
  </si>
  <si>
    <t>Product: Leather Wallet</t>
  </si>
  <si>
    <t>The product is added to the wishlist, the icon changes state (e.g., filled heart), and the wishlist count badge increases by 1.</t>
  </si>
  <si>
    <t>TC_0180</t>
  </si>
  <si>
    <t>Remove a product from the wishlist</t>
  </si>
  <si>
    <t>At least one product exists in the user's wishlist.</t>
  </si>
  <si>
    <t>1. Navigate to the Wishlist page.
2. Click the 'Remove' icon on a wishlisted product.</t>
  </si>
  <si>
    <t>Product in wishlist: Leather Wallet</t>
  </si>
  <si>
    <t>The product is removed from the wishlist immediately and the wishlist count badge decreases by 1.</t>
  </si>
  <si>
    <t>Quantity selector correctly blocked quantity exceeding available stock.</t>
  </si>
  <si>
    <t>TC_0181</t>
  </si>
  <si>
    <t>Verify adding a product to the wishlist requires the user to be logged in</t>
  </si>
  <si>
    <t>1. As a guest, navigate to a product's PDP.
2. Click the 'Add to Wishlist' icon.</t>
  </si>
  <si>
    <t>The user is prompted to log in or register before the product can be added to the wishlist.</t>
  </si>
  <si>
    <t>TC_0182</t>
  </si>
  <si>
    <t>Verify adding an already-wishlisted product again does not create a duplicate entry</t>
  </si>
  <si>
    <t>A product is already present in the user's wishlist.</t>
  </si>
  <si>
    <t>1. Add Product A to the wishlist.
2. Navigate to Product A's PDP again and click 'Add to Wishlist' a second time.</t>
  </si>
  <si>
    <t>Product: Leather Wallet (already wishlisted)</t>
  </si>
  <si>
    <t>The product is not duplicated in the wishlist; the icon may toggle to indicate the product is already saved, or a message is shown.</t>
  </si>
  <si>
    <t>TC_0183</t>
  </si>
  <si>
    <t>Verify the wishlist icon/badge updates in real time when items are added or removed</t>
  </si>
  <si>
    <t>User is logged in and browsing the catalog.</t>
  </si>
  <si>
    <t>1. Add a product to the wishlist and observe the header wishlist badge.
2. Remove a product from the wishlist and observe the badge again.</t>
  </si>
  <si>
    <t>The wishlist badge count updates immediately and accurately after each add/remove action without requiring a page refresh.</t>
  </si>
  <si>
    <t>TC_0184</t>
  </si>
  <si>
    <t>View the Wishlist page listing all saved products</t>
  </si>
  <si>
    <t>The user has multiple products saved in their wishlist.</t>
  </si>
  <si>
    <t>1. Log in with an account that has 3 wishlisted products.
2. Navigate to the Wishlist page.</t>
  </si>
  <si>
    <t>Wishlist contains 3 products</t>
  </si>
  <si>
    <t>All 3 saved products are listed accurately with correct images, names, and prices.</t>
  </si>
  <si>
    <t>TC_0185</t>
  </si>
  <si>
    <t>Move a product from the wishlist to the shopping cart</t>
  </si>
  <si>
    <t>A product exists in the user's wishlist and is in stock.</t>
  </si>
  <si>
    <t>1. Navigate to the Wishlist page.
2. Click 'Add to Cart' (or 'Move to Cart') on a wishlisted product.</t>
  </si>
  <si>
    <t>The product is added to the shopping cart, and (per business rule) may be automatically removed from the wishlist or remain, updating the respective counts.</t>
  </si>
  <si>
    <t>TC_0186</t>
  </si>
  <si>
    <t>Verify an out-of-stock product is displayed correctly within the wishlist</t>
  </si>
  <si>
    <t>A wishlisted product has since gone out of stock.</t>
  </si>
  <si>
    <t>1. Add a product to the wishlist while in stock.
2. Simulate/wait for the product to go out of stock.
3. Navigate to the Wishlist page.</t>
  </si>
  <si>
    <t>Product: Discontinued Speaker (now Out of Stock)</t>
  </si>
  <si>
    <t>The out-of-stock product remains listed in the wishlist with a clear 'Out of Stock' indicator, and the 'Add to Cart' action is disabled for it.</t>
  </si>
  <si>
    <t>TC_0187</t>
  </si>
  <si>
    <t>Verify the wishlist persists across sessions for a logged-in user</t>
  </si>
  <si>
    <t>A logged-in user has added products to their wishlist.</t>
  </si>
  <si>
    <t>1. Add a product to the wishlist.
2. Log out of the account.
3. Log back in with the same account.
4. Navigate to the Wishlist page.</t>
  </si>
  <si>
    <t>The previously wishlisted product is still present after logging back in, confirming the wishlist is persisted server-side.</t>
  </si>
  <si>
    <t>TC_0188</t>
  </si>
  <si>
    <t>Verify the empty wishlist state displays an appropriate message</t>
  </si>
  <si>
    <t>The user's wishlist currently contains no products.</t>
  </si>
  <si>
    <t>1. Log in with an account that has an empty wishlist.
2. Navigate to the Wishlist page.</t>
  </si>
  <si>
    <t>Wishlist: empty</t>
  </si>
  <si>
    <t>A clear empty-state message is displayed (e.g., 'Your wishlist is empty') along with a call-to-action to continue shopping.</t>
  </si>
  <si>
    <t>TC_0189</t>
  </si>
  <si>
    <t>Verify the 'Share Wishlist' functionality generates a valid shareable link</t>
  </si>
  <si>
    <t>The Wishlist page includes a share option and contains at least one item.</t>
  </si>
  <si>
    <t>1. Navigate to the Wishlist page with items added.
2. Click the 'Share Wishlist' option.
3. Copy and open the generated link in a new browser session.</t>
  </si>
  <si>
    <t>A valid shareable link is generated, and opening it in another session displays the same wishlisted products in a read-only view.</t>
  </si>
  <si>
    <t>TC_0190</t>
  </si>
  <si>
    <t>Clear the entire wishlist using a 'Clear All' option</t>
  </si>
  <si>
    <t>Multiple products exist in the user's wishlist.</t>
  </si>
  <si>
    <t>1. Navigate to the Wishlist page with multiple products.
2. Click the 'Clear All' or 'Remove All' button.</t>
  </si>
  <si>
    <t>All products are removed from the wishlist at once, and the empty-state message is displayed.</t>
  </si>
  <si>
    <t>TC_0191</t>
  </si>
  <si>
    <t>Verify the wishlist displays the current, up-to-date price of each product</t>
  </si>
  <si>
    <t>A product's price has been recently updated in the catalog.</t>
  </si>
  <si>
    <t>1. Add a product to the wishlist at its current price.
2. Navigate to the Wishlist page.
3. Compare the displayed price to the product's current PDP price.</t>
  </si>
  <si>
    <t>The wishlist displays the product's current live price, matching the PDP, rather than a stale price from when it was added.</t>
  </si>
  <si>
    <t>TC_0192</t>
  </si>
  <si>
    <t>Verify a price drop on a wishlisted product is reflected accurately</t>
  </si>
  <si>
    <t>A wishlisted product's price has been reduced since it was added.</t>
  </si>
  <si>
    <t>1. Add a product to the wishlist at its original price.
2. Reduce the product's price via the admin/catalog (or use a pre-configured discounted product).
3. Revisit the Wishlist page.</t>
  </si>
  <si>
    <t>Original price: $40 | New price: $30</t>
  </si>
  <si>
    <t>The updated, lower price is displayed on the Wishlist page, optionally with a 'Price Drop' indicator.</t>
  </si>
  <si>
    <t>TC_0193</t>
  </si>
  <si>
    <t>Add multiple different products to the wishlist in a single session</t>
  </si>
  <si>
    <t>User is logged in and browsing multiple products.</t>
  </si>
  <si>
    <t>1. Add Product A to the wishlist.
2. Add Product B to the wishlist.
3. Add Product C to the wishlist.
4. Navigate to the Wishlist page.</t>
  </si>
  <si>
    <t>Products: A, B, C</t>
  </si>
  <si>
    <t>All three products appear correctly in the wishlist with accurate details for each.</t>
  </si>
  <si>
    <t>TC_0194</t>
  </si>
  <si>
    <t>Verify the Wishlist page is accessible from the My Account navigation menu</t>
  </si>
  <si>
    <t>User is logged in and on the My Account dashboard.</t>
  </si>
  <si>
    <t>1. Log in and navigate to the My Account section.
2. Click the 'Wishlist' menu item.</t>
  </si>
  <si>
    <t>The user is navigated to the Wishlist page displaying their saved products.</t>
  </si>
  <si>
    <t>TC_0195</t>
  </si>
  <si>
    <t>Verify a guest user attempting to add to wishlist is prompted to log in rather than encountering an error</t>
  </si>
  <si>
    <t>User is browsing as a guest.</t>
  </si>
  <si>
    <t>1. As a guest, click 'Add to Wishlist' on any product.</t>
  </si>
  <si>
    <t>Instead of a technical error, the user sees a clear login/register prompt explaining that an account is needed to save items.</t>
  </si>
  <si>
    <t>Negative - Authorization Testing</t>
  </si>
  <si>
    <t>TC_0196</t>
  </si>
  <si>
    <t>Verify behavior when the maximum wishlist item limit (if configured) is reached</t>
  </si>
  <si>
    <t>The system enforces a maximum wishlist limit (e.g., 50 items) and the user currently has 50 items saved.</t>
  </si>
  <si>
    <t>1. Ensure the wishlist already contains the maximum allowed number of items.
2. Attempt to add one more product to the wishlist.</t>
  </si>
  <si>
    <t>Wishlist: 50/50 items (maximum reached)</t>
  </si>
  <si>
    <t>The application prevents adding the additional item and displays a message indicating the wishlist limit has been reached.</t>
  </si>
  <si>
    <t>TC_0197</t>
  </si>
  <si>
    <t>Verify a wishlisted product is automatically removed or flagged if it is discontinued</t>
  </si>
  <si>
    <t>A wishlisted product is discontinued/removed from the catalog by an admin.</t>
  </si>
  <si>
    <t>1. Add a product to the wishlist.
2. Discontinue/delete the product from the catalog (admin action or pre-configured test data).
3. Revisit the Wishlist page.</t>
  </si>
  <si>
    <t>Product: Discontinued Item</t>
  </si>
  <si>
    <t>The discontinued product is either automatically removed from the wishlist or clearly flagged as no longer available.</t>
  </si>
  <si>
    <t>TC_0198</t>
  </si>
  <si>
    <t>Verify the Wishlist page renders responsively on mobile devices</t>
  </si>
  <si>
    <t>The user has products saved in their wishlist.</t>
  </si>
  <si>
    <t>1. Log in and navigate to the Wishlist page on a mobile viewport.
2. Verify layout and functionality of remove/add-to-cart actions.</t>
  </si>
  <si>
    <t>The wishlist page layout adapts correctly to the smaller screen, and all actions remain fully usable.</t>
  </si>
  <si>
    <t>TC_0199</t>
  </si>
  <si>
    <t>Verify the wishlist badge resets to zero after all items have been removed</t>
  </si>
  <si>
    <t>The wishlist currently contains one item.</t>
  </si>
  <si>
    <t>1. Ensure exactly one item remains in the wishlist.
2. Remove that final item.</t>
  </si>
  <si>
    <t>Wishlist: 1 item before removal</t>
  </si>
  <si>
    <t>The wishlist badge count resets to zero (or is hidden) once the wishlist is empty.</t>
  </si>
  <si>
    <t>TC_0200</t>
  </si>
  <si>
    <t>Verify the cart displays all products that have been added</t>
  </si>
  <si>
    <t>Multiple products have been added to the cart.</t>
  </si>
  <si>
    <t>1. Add Product A and Product B to the cart.
2. Navigate to the Cart page.</t>
  </si>
  <si>
    <t>Products added: A, B</t>
  </si>
  <si>
    <t>Both products are listed accurately in the cart with correct names, images, prices, and quantities.</t>
  </si>
  <si>
    <t>Product added to cart successfully as guest user.</t>
  </si>
  <si>
    <t>2026-09-19</t>
  </si>
  <si>
    <t>TC_0201</t>
  </si>
  <si>
    <t>Update the quantity of a product directly from the cart page</t>
  </si>
  <si>
    <t>A product exists in the cart with quantity 1.</t>
  </si>
  <si>
    <t>1. Navigate to the Cart page.
2. Change the quantity of a product from 1 to 3 using the quantity control.
3. Observe the updated line total.</t>
  </si>
  <si>
    <t>Product: Wireless Mouse | New quantity: 3</t>
  </si>
  <si>
    <t>The quantity updates to 3 and the line item total recalculates correctly (unit price x 3).</t>
  </si>
  <si>
    <t>TC_0202</t>
  </si>
  <si>
    <t>Attempt to increase the cart quantity beyond available stock</t>
  </si>
  <si>
    <t>A cart item's product has only 4 units in stock.</t>
  </si>
  <si>
    <t>1. Navigate to the Cart page.
2. Attempt to increase the quantity of the item beyond 4.</t>
  </si>
  <si>
    <t>Available stock: 4 | Attempted quantity: 6</t>
  </si>
  <si>
    <t>The application prevents exceeding available stock and displays a warning message.</t>
  </si>
  <si>
    <t>TC_0203</t>
  </si>
  <si>
    <t>Decrease a cart item's quantity to zero to remove it</t>
  </si>
  <si>
    <t>1. Navigate to the Cart page.
2. Click the decrement button on a product with quantity 1.</t>
  </si>
  <si>
    <t>Quantity: 1, decrementing further</t>
  </si>
  <si>
    <t>The item is either removed from the cart automatically or the user is prompted for confirmation before removal, per the defined business rule.</t>
  </si>
  <si>
    <t>TC_0204</t>
  </si>
  <si>
    <t>Attempt to enter a negative quantity value in the cart</t>
  </si>
  <si>
    <t>A product exists in the cart.</t>
  </si>
  <si>
    <t>1. Navigate to the Cart page.
2. Manually type a negative number into the quantity field for an item.</t>
  </si>
  <si>
    <t>Entered quantity: -2</t>
  </si>
  <si>
    <t>The application rejects the negative value, reverting to the last valid quantity or displaying a validation message.</t>
  </si>
  <si>
    <t>TC_0205</t>
  </si>
  <si>
    <t>Remove a single product from the cart</t>
  </si>
  <si>
    <t>Multiple products exist in the cart.</t>
  </si>
  <si>
    <t>1. Navigate to the Cart page with 2+ products.
2. Click the 'Remove' icon/link on one product.</t>
  </si>
  <si>
    <t>Products in cart: A, B</t>
  </si>
  <si>
    <t>The selected product is removed from the cart, and the cart totals update immediately to reflect the remaining item(s).</t>
  </si>
  <si>
    <t>TC_0206</t>
  </si>
  <si>
    <t>Clear the entire cart using a 'Clear Cart' option</t>
  </si>
  <si>
    <t>1. Navigate to the Cart page with multiple products.
2. Click the 'Clear Cart' or 'Remove All' option.</t>
  </si>
  <si>
    <t>Products in cart: A, B, C</t>
  </si>
  <si>
    <t>All items are removed from the cart, and the empty-cart state is displayed.</t>
  </si>
  <si>
    <t>TC_0207</t>
  </si>
  <si>
    <t>Verify the subtotal calculation is accurate for all items in the cart</t>
  </si>
  <si>
    <t>The cart contains multiple items with known unit prices and quantities.</t>
  </si>
  <si>
    <t>1. Add Product A ($20 x 2) and Product B ($15 x 1) to the cart.
2. Navigate to the Cart page and check the subtotal.</t>
  </si>
  <si>
    <t>Product A: $20 x 2 | Product B: $15 x 1 | Expected subtotal: $55</t>
  </si>
  <si>
    <t>The subtotal displayed exactly matches the sum of (unit price x quantity) for all cart items.</t>
  </si>
  <si>
    <t>TC_0208</t>
  </si>
  <si>
    <t>Verify the tax calculation is applied accurately to the cart total</t>
  </si>
  <si>
    <t>The cart contains items subject to a defined tax rate (e.g., 10%).</t>
  </si>
  <si>
    <t>1. Add items to the cart totaling a known subtotal (e.g., $100).
2. Navigate to the Cart page and check the tax line item.</t>
  </si>
  <si>
    <t>Subtotal: $100 | Tax rate: 10%</t>
  </si>
  <si>
    <t>The tax amount displayed is calculated correctly as 10% of the applicable subtotal ($10).</t>
  </si>
  <si>
    <t>TC_0209</t>
  </si>
  <si>
    <t>Verify the shipping cost is calculated correctly based on defined shipping rules</t>
  </si>
  <si>
    <t>Shipping rules specify a flat fee or free shipping above a threshold.</t>
  </si>
  <si>
    <t>1. Add items to the cart with a subtotal below the free-shipping threshold.
2. Navigate to the Cart page and check the shipping line item.</t>
  </si>
  <si>
    <t>Subtotal: $40 | Free shipping threshold: $50</t>
  </si>
  <si>
    <t>The correct flat shipping fee is displayed since the subtotal is below the free-shipping threshold.</t>
  </si>
  <si>
    <t>TC_0210</t>
  </si>
  <si>
    <t>Verify the grand total calculation accurately sums subtotal, tax, and shipping</t>
  </si>
  <si>
    <t>The cart contains known subtotal, tax, and shipping values.</t>
  </si>
  <si>
    <t>1. Add items resulting in a known subtotal.
2. Navigate to the Cart page and verify the grand total against subtotal + tax + shipping - discounts.</t>
  </si>
  <si>
    <t>Subtotal: $55 | Tax: $5.50 | Shipping: $5 | Expected total: $65.50</t>
  </si>
  <si>
    <t>The grand total displayed exactly matches the sum of subtotal, tax, and shipping (minus any discounts).</t>
  </si>
  <si>
    <t>Product added to wishlist; icon count updated in real time.</t>
  </si>
  <si>
    <t>TC_0211</t>
  </si>
  <si>
    <t>Apply a valid, active coupon code to the cart</t>
  </si>
  <si>
    <t>A valid, active coupon code exists (e.g., 'SAVE10' for 10% off).</t>
  </si>
  <si>
    <t>1. Navigate to the Cart page.
2. Enter the valid coupon code in the promo code field.
3. Click Apply.</t>
  </si>
  <si>
    <t>Coupon code: SAVE10</t>
  </si>
  <si>
    <t>The discount is applied correctly, the cart total updates to reflect the reduction, and a success message is displayed.</t>
  </si>
  <si>
    <t>TC_0212</t>
  </si>
  <si>
    <t>Apply an invalid or expired coupon code to the cart</t>
  </si>
  <si>
    <t>The coupon code 'EXPIRED20' has passed its expiration date.</t>
  </si>
  <si>
    <t>1. Navigate to the Cart page.
2. Enter the expired/invalid coupon code.
3. Click Apply.</t>
  </si>
  <si>
    <t>Coupon code: EXPIRED20</t>
  </si>
  <si>
    <t>The application rejects the coupon and displays an error message such as 'This coupon code is invalid or has expired'.</t>
  </si>
  <si>
    <t>TC_0213</t>
  </si>
  <si>
    <t>Attempt to apply a coupon code when the minimum order value requirement is not met</t>
  </si>
  <si>
    <t>A coupon 'SAVE10' requires a minimum order value of $50, and the current cart subtotal is $30.</t>
  </si>
  <si>
    <t>1. Navigate to the Cart page with a subtotal below the coupon's minimum threshold.
2. Enter the coupon code.
3. Click Apply.</t>
  </si>
  <si>
    <t>Coupon code: SAVE10 | Cart subtotal: $30 | Minimum required: $50</t>
  </si>
  <si>
    <t>The application rejects the coupon and displays a message indicating the minimum order value has not been met.</t>
  </si>
  <si>
    <t>TC_0214</t>
  </si>
  <si>
    <t>Remove an already-applied coupon code from the cart</t>
  </si>
  <si>
    <t>A valid coupon has already been applied to the cart.</t>
  </si>
  <si>
    <t>1. Navigate to the Cart page with an applied coupon.
2. Click the 'Remove' link/icon next to the applied coupon.</t>
  </si>
  <si>
    <t>Applied coupon: SAVE10</t>
  </si>
  <si>
    <t>The coupon is removed, the discount is reversed, and the cart total recalculates to the pre-discount amount.</t>
  </si>
  <si>
    <t>TC_0215</t>
  </si>
  <si>
    <t>Verify the discount amount is reflected correctly in the cart total after applying a coupon</t>
  </si>
  <si>
    <t>A valid 10% off coupon is applied to a cart with a $100 subtotal.</t>
  </si>
  <si>
    <t>1. Add items totaling a $100 subtotal.
2. Apply the 10% discount coupon.
3. Verify the discount line item and updated total.</t>
  </si>
  <si>
    <t>Subtotal: $100 | Coupon: 10% off</t>
  </si>
  <si>
    <t>A discount line item of -$10 is displayed, and the total reflects the reduced amount accurately.</t>
  </si>
  <si>
    <t>TC_0216</t>
  </si>
  <si>
    <t>Verify the empty cart state displays an appropriate message and call-to-action</t>
  </si>
  <si>
    <t>The cart currently contains no items.</t>
  </si>
  <si>
    <t>1. Ensure the cart is empty.
2. Navigate to the Cart page.</t>
  </si>
  <si>
    <t>Cart: empty</t>
  </si>
  <si>
    <t>A clear 'Your cart is empty' message is displayed along with a 'Continue Shopping' or similar call-to-action button.</t>
  </si>
  <si>
    <t>TC_0217</t>
  </si>
  <si>
    <t>Verify cart contents persist after refreshing the browser page</t>
  </si>
  <si>
    <t>Products have been added to the cart.</t>
  </si>
  <si>
    <t>1. Add two products to the cart.
2. Refresh the browser page (F5).
3. Observe the cart contents.</t>
  </si>
  <si>
    <t>Both products remain in the cart after the page refresh, with correct quantities and totals.</t>
  </si>
  <si>
    <t>TC_0218</t>
  </si>
  <si>
    <t>Verify cart contents persist after logging out and logging back in</t>
  </si>
  <si>
    <t>A logged-in user has added products to the cart.</t>
  </si>
  <si>
    <t>1. Log in and add products to the cart.
2. Log out.
3. Log back in with the same account.
4. Navigate to the Cart page.</t>
  </si>
  <si>
    <t>The cart items are retained and displayed correctly after logging back in.</t>
  </si>
  <si>
    <t>TC_0219</t>
  </si>
  <si>
    <t>Verify a guest user's cart merges correctly with their account cart after login</t>
  </si>
  <si>
    <t>A guest user has added items to the cart before logging in, and the account also had previously saved cart items.</t>
  </si>
  <si>
    <t>1. As a guest, add Product A to the cart.
2. Log in to an existing account that already has Product B saved in its cart.
3. Observe the merged cart contents.</t>
  </si>
  <si>
    <t>Guest cart: Product A | Account cart: Product B</t>
  </si>
  <si>
    <t>The merged cart contains both Product A and Product B without loss or duplication of items.</t>
  </si>
  <si>
    <t>TC_0220</t>
  </si>
  <si>
    <t>Verify an out-of-stock item already in the cart is flagged before checkout</t>
  </si>
  <si>
    <t>A product in the cart has since gone out of stock.</t>
  </si>
  <si>
    <t>1. Add a product to the cart while in stock.
2. Simulate the product going out of stock.
3. Navigate to the Cart page.</t>
  </si>
  <si>
    <t>Product: Wireless Mouse (now Out of Stock)</t>
  </si>
  <si>
    <t>The out-of-stock item is clearly flagged in the cart, and the user is prevented from proceeding to checkout with that item unresolved.</t>
  </si>
  <si>
    <t>TC_0221</t>
  </si>
  <si>
    <t>Verify a product removed from the catalog is handled correctly if already in the cart</t>
  </si>
  <si>
    <t>A product in the cart has been deleted from the catalog by an admin.</t>
  </si>
  <si>
    <t>1. Add a product to the cart.
2. Delete/discontinue the product from the catalog.
3. Revisit the Cart page.</t>
  </si>
  <si>
    <t>The removed product is either automatically removed from the cart or clearly flagged as unavailable, with the total recalculated accordingly.</t>
  </si>
  <si>
    <t>TC_0222</t>
  </si>
  <si>
    <t>Navigate from the Cart page to the Checkout page</t>
  </si>
  <si>
    <t>The cart contains at least one valid, in-stock item.</t>
  </si>
  <si>
    <t>1. Navigate to the Cart page with a valid item added.
2. Click the 'Proceed to Checkout' button.</t>
  </si>
  <si>
    <t>The user is navigated to the Checkout page with the correct cart items and totals carried over.</t>
  </si>
  <si>
    <t>TC_0223</t>
  </si>
  <si>
    <t>Verify the 'Continue Shopping' link navigates back to the catalog correctly</t>
  </si>
  <si>
    <t>User is on the Cart page.</t>
  </si>
  <si>
    <t>1. Navigate to the Cart page.
2. Click the 'Continue Shopping' link.</t>
  </si>
  <si>
    <t>The user is navigated back to the previous catalog/category page (or homepage) without losing cart contents.</t>
  </si>
  <si>
    <t>TC_0224</t>
  </si>
  <si>
    <t>Verify the cart icon/badge count matches the total number of items in the cart</t>
  </si>
  <si>
    <t>Multiple products with varying quantities are in the cart.</t>
  </si>
  <si>
    <t>1. Add Product A (quantity 2) and Product B (quantity 1) to the cart.
2. Observe the cart icon badge in the header.</t>
  </si>
  <si>
    <t>Product A: qty 2 | Product B: qty 1</t>
  </si>
  <si>
    <t>The cart badge displays the correct total item count (3), matching the sum of all quantities.</t>
  </si>
  <si>
    <t>TC_0225</t>
  </si>
  <si>
    <t>Verify clicking a product's image or name in the cart navigates back to its PDP</t>
  </si>
  <si>
    <t>1. Navigate to the Cart page.
2. Click the product image or name of a cart item.</t>
  </si>
  <si>
    <t>The user is navigated to the correct Product Display Page for that item.</t>
  </si>
  <si>
    <t>Applying an expired coupon code did not show an error and incorrectly applied the discount.</t>
  </si>
  <si>
    <t>BUG_004</t>
  </si>
  <si>
    <t>TC_0226</t>
  </si>
  <si>
    <t>Verify a price change on a product is reflected correctly for items already in the cart</t>
  </si>
  <si>
    <t>A product's price is updated by an admin after being added to a user's cart.</t>
  </si>
  <si>
    <t>1. Add a product to the cart at its original price.
2. Update the product's price via the admin/catalog.
3. Revisit the Cart page.</t>
  </si>
  <si>
    <t>Original price: $50 | Updated price: $45</t>
  </si>
  <si>
    <t>The cart reflects the updated live price for the item, and the totals recalculate accordingly (per the defined pricing business rule).</t>
  </si>
  <si>
    <t>TC_0227</t>
  </si>
  <si>
    <t>Verify the maximum allowed quantity boundary per product is enforced in the cart</t>
  </si>
  <si>
    <t>The system enforces a maximum quantity of 10 per product per order.</t>
  </si>
  <si>
    <t>1. Navigate to the Cart page.
2. Attempt to set a product's quantity to 11.</t>
  </si>
  <si>
    <t>Maximum allowed quantity: 10 | Attempted: 11</t>
  </si>
  <si>
    <t>The application prevents exceeding the maximum and displays an appropriate message, capping the quantity at 10.</t>
  </si>
  <si>
    <t>TC_0228</t>
  </si>
  <si>
    <t>Verify the minimum allowed quantity boundary of 1 is enforced in the cart</t>
  </si>
  <si>
    <t>A cart item currently has quantity 1.</t>
  </si>
  <si>
    <t>1. Navigate to the Cart page.
2. Attempt to decrease the quantity below 1 using the decrement control.</t>
  </si>
  <si>
    <t>Current quantity: 1</t>
  </si>
  <si>
    <t>The quantity cannot go below 1 via the decrement control; further decreasing either has no effect or prompts removal of the item.</t>
  </si>
  <si>
    <t>TC_0229</t>
  </si>
  <si>
    <t>Verify cart totals update in real time without requiring a full page reload</t>
  </si>
  <si>
    <t>The cart contains at least one item.</t>
  </si>
  <si>
    <t>1. Navigate to the Cart page.
2. Change the quantity of an item.
3. Observe whether the subtotal and total update instantly.</t>
  </si>
  <si>
    <t>The subtotal, tax, and total update dynamically (via AJAX) immediately after the quantity change, without a full page reload.</t>
  </si>
  <si>
    <t>TC_0230</t>
  </si>
  <si>
    <t>Verify the combined total is calculated correctly when multiple different products are in the cart</t>
  </si>
  <si>
    <t>The cart contains three different products with different prices and quantities.</t>
  </si>
  <si>
    <t>1. Add Product A ($10 x 1), Product B ($20 x 2), and Product C ($5 x 3) to the cart.
2. Verify the calculated subtotal.</t>
  </si>
  <si>
    <t>Expected subtotal: $10 + $40 + $15 = $65</t>
  </si>
  <si>
    <t>The subtotal accurately reflects the combined total of all three products' line totals.</t>
  </si>
  <si>
    <t>Subtotal and grand total calculated correctly for multiple items.</t>
  </si>
  <si>
    <t>TC_0231</t>
  </si>
  <si>
    <t>Verify the cart displays an estimated delivery date if the feature is supported</t>
  </si>
  <si>
    <t>The application supports displaying estimated delivery estimates on the cart page.</t>
  </si>
  <si>
    <t>1. Navigate to the Cart page with items added.
2. Observe whether an estimated delivery date/range is displayed.</t>
  </si>
  <si>
    <t>An estimated delivery date or date range is displayed accurately based on shipping method and location, if this feature is supported.</t>
  </si>
  <si>
    <t>TC_0232</t>
  </si>
  <si>
    <t>Verify the Cart page renders responsively on mobile devices</t>
  </si>
  <si>
    <t>The cart contains multiple items.</t>
  </si>
  <si>
    <t>1. Add 2-3 products to the cart.
2. Open the Cart page on a mobile viewport.</t>
  </si>
  <si>
    <t>The cart layout adapts responsively, with all controls (quantity, remove, checkout) remaining fully accessible and usable.</t>
  </si>
  <si>
    <t>TC_0233</t>
  </si>
  <si>
    <t>Verify the homepage loads successfully</t>
  </si>
  <si>
    <t>The application URL is accessible.</t>
  </si>
  <si>
    <t>1. Open a browser.
2. Navigate to the homepage URL.</t>
  </si>
  <si>
    <t>URL: https://www.example-shop.com</t>
  </si>
  <si>
    <t>The homepage loads completely within an acceptable time, displaying the header, banners, and footer without errors.</t>
  </si>
  <si>
    <t>TC_0234</t>
  </si>
  <si>
    <t>Verify all main navigation menu links are present and functional</t>
  </si>
  <si>
    <t>The homepage has fully loaded.</t>
  </si>
  <si>
    <t>1. Observe the main navigation menu.
2. Click each top-level category link one at a time.</t>
  </si>
  <si>
    <t>Menu items: Men, Women, Electronics, Sale</t>
  </si>
  <si>
    <t>Each menu link navigates to its correct corresponding category page without errors.</t>
  </si>
  <si>
    <t>TC_0235</t>
  </si>
  <si>
    <t>Verify the homepage banner/carousel displays and auto-rotates correctly</t>
  </si>
  <si>
    <t>The homepage includes a promotional banner carousel.</t>
  </si>
  <si>
    <t>1. Load the homepage.
2. Observe the banner carousel for a period of at least 15-20 seconds without interaction.</t>
  </si>
  <si>
    <t>The carousel automatically rotates through all configured banner slides at a consistent interval without freezing or errors.</t>
  </si>
  <si>
    <t>TC_0236</t>
  </si>
  <si>
    <t>Verify clicking a homepage banner navigates to the correct linked page</t>
  </si>
  <si>
    <t>The homepage banner carousel has a configured link/destination.</t>
  </si>
  <si>
    <t>1. Load the homepage.
2. Click on the currently displayed banner image.</t>
  </si>
  <si>
    <t>Banner: 'Summer Sale' linking to /sale</t>
  </si>
  <si>
    <t>The user is navigated to the correct promotional/category page as configured for that banner.</t>
  </si>
  <si>
    <t>TC_0237</t>
  </si>
  <si>
    <t>Verify the Featured/Best-Selling products section displays correctly</t>
  </si>
  <si>
    <t>The homepage includes a Featured/Best-Selling products section with configured items.</t>
  </si>
  <si>
    <t>1. Load the homepage.
2. Scroll to the Featured/Best-Selling products section.</t>
  </si>
  <si>
    <t>The section displays the correct set of products with accurate images, names, and prices, matching the admin configuration.</t>
  </si>
  <si>
    <t>TC_0238</t>
  </si>
  <si>
    <t>Verify the New Arrivals section displays correctly</t>
  </si>
  <si>
    <t>The homepage includes a New Arrivals section with recently added products.</t>
  </si>
  <si>
    <t>1. Load the homepage.
2. Scroll to the New Arrivals section.</t>
  </si>
  <si>
    <t>The section correctly displays recently added products in the expected order (e.g., newest first).</t>
  </si>
  <si>
    <t>TC_0239</t>
  </si>
  <si>
    <t>Verify the header search bar is accessible and functional from the homepage</t>
  </si>
  <si>
    <t>1. Click on the header search bar.
2. Type a valid keyword and submit the search.</t>
  </si>
  <si>
    <t>Search term: 'shoes'</t>
  </si>
  <si>
    <t>The search bar accepts input and correctly navigates to the search results page with relevant matches.</t>
  </si>
  <si>
    <t>TC_0240</t>
  </si>
  <si>
    <t>Verify footer links (About Us, Contact, Policies) are present and functional</t>
  </si>
  <si>
    <t>The homepage footer is visible.</t>
  </si>
  <si>
    <t>1. Scroll to the footer.
2. Click on 'About Us', 'Contact Us', and a policy link (e.g., 'Privacy Policy') one at a time.</t>
  </si>
  <si>
    <t>Each footer link navigates to its correct corresponding informational page without broken links or errors.</t>
  </si>
  <si>
    <t>TC_0241</t>
  </si>
  <si>
    <t>Verify the homepage renders responsively on mobile and tablet devices</t>
  </si>
  <si>
    <t>The homepage is accessible.</t>
  </si>
  <si>
    <t>1. Open the homepage on a mobile viewport (e.g., 375px width).
2. Repeat on a tablet viewport (e.g., 768px width).
3. Verify layout, menu, and banners render correctly on each.</t>
  </si>
  <si>
    <t>Viewports: 375px (mobile), 768px (tablet)</t>
  </si>
  <si>
    <t>The homepage layout adapts correctly to each screen size, with a functional mobile navigation menu (e.g., hamburger menu) and properly scaled content.</t>
  </si>
  <si>
    <t>TC_0242</t>
  </si>
  <si>
    <t>Verify the homepage loads within an acceptable performance threshold</t>
  </si>
  <si>
    <t>The homepage contains images, banners, and dynamic product sections.</t>
  </si>
  <si>
    <t>1. Clear browser cache.
2. Navigate to the homepage.
3. Measure the page load time using browser developer tools.</t>
  </si>
  <si>
    <t>The homepage fully loads within an acceptable time frame (e.g., under 3 seconds) on a standard broadband connection.</t>
  </si>
  <si>
    <t>TC_0243</t>
  </si>
  <si>
    <t>Verify checkout requires the user to be authenticated (for accounts without guest checkout)</t>
  </si>
  <si>
    <t>User is browsing as a guest and guest checkout is not enabled.</t>
  </si>
  <si>
    <t>1. As a guest, add a product to the cart.
2. Click 'Proceed to Checkout'.</t>
  </si>
  <si>
    <t>The user is prompted to log in or register before being allowed to proceed to the checkout steps.</t>
  </si>
  <si>
    <t>TC_0244</t>
  </si>
  <si>
    <t>Complete the checkout process successfully as a guest user (where guest checkout is supported)</t>
  </si>
  <si>
    <t>Guest checkout is enabled and the cart contains a valid, in-stock item.</t>
  </si>
  <si>
    <t>1. As a guest, add a product to the cart.
2. Click 'Proceed to Checkout' and select 'Checkout as Guest'.
3. Complete billing, shipping, and payment details.
4. Click Place Order.</t>
  </si>
  <si>
    <t>Guest email: guest.buyer@example.com</t>
  </si>
  <si>
    <t>The order is placed successfully without requiring account creation, and an order confirmation is displayed.</t>
  </si>
  <si>
    <t>TC_0245</t>
  </si>
  <si>
    <t>Enter valid billing information during checkout</t>
  </si>
  <si>
    <t>User has reached the Billing Information step of checkout.</t>
  </si>
  <si>
    <t>1. Enter a valid full name, address, city, postal code, and country in the billing form.
2. Click Continue/Next.</t>
  </si>
  <si>
    <t>Name: Ali Hassan | Address: 12 Nile St | City: Cairo | Postal Code: 11511 | Country: Egypt</t>
  </si>
  <si>
    <t>The billing information is accepted and the user proceeds to the next checkout step.</t>
  </si>
  <si>
    <t>Homepage banner carousel auto-rotated correctly through all slides.</t>
  </si>
  <si>
    <t>TC_0246</t>
  </si>
  <si>
    <t>Attempt to proceed with incomplete or missing billing information</t>
  </si>
  <si>
    <t>1. Leave one or more required billing fields empty (e.g., Address).
2. Click Continue/Next.</t>
  </si>
  <si>
    <t>Address field: (empty)</t>
  </si>
  <si>
    <t>The application blocks progression and displays validation messages for each missing required field.</t>
  </si>
  <si>
    <t>TC_0247</t>
  </si>
  <si>
    <t>Enter an invalid billing address format</t>
  </si>
  <si>
    <t>1. Enter a postal code in an invalid format for the selected country.
2. Click Continue/Next.</t>
  </si>
  <si>
    <t>Postal Code: '@@INVALID@@'</t>
  </si>
  <si>
    <t>The application blocks progression and displays a validation message indicating the postal code format is invalid.</t>
  </si>
  <si>
    <t>TC_0248</t>
  </si>
  <si>
    <t>Enter valid shipping information during checkout</t>
  </si>
  <si>
    <t>User has reached the Shipping Information step of checkout.</t>
  </si>
  <si>
    <t>1. Enter a valid shipping name, address, city, postal code, and country.
2. Select a shipping method.
3. Click Continue/Next.</t>
  </si>
  <si>
    <t>Shipping Address: 45 Tahrir Sq, Cairo, Egypt | Method: Standard Shipping</t>
  </si>
  <si>
    <t>The shipping information and method are accepted, and the estimated shipping cost/date updates accordingly.</t>
  </si>
  <si>
    <t>TC_0249</t>
  </si>
  <si>
    <t>Verify the 'Same as billing address' checkbox correctly copies billing details to shipping</t>
  </si>
  <si>
    <t>User has already entered valid billing information.</t>
  </si>
  <si>
    <t>1. Enter valid billing information.
2. Check the 'Same as billing address' checkbox on the shipping step.
3. Observe the shipping address fields.</t>
  </si>
  <si>
    <t>The shipping address fields are automatically populated with the exact same values entered in the billing address.</t>
  </si>
  <si>
    <t>TC_0250</t>
  </si>
  <si>
    <t>Select 'Credit Card' as the payment method and enter valid card details</t>
  </si>
  <si>
    <t>User has reached the Payment step of checkout with a valid order summary.</t>
  </si>
  <si>
    <t>1. Select 'Credit Card' as the payment method.
2. Enter a valid card number, expiry date, and CVV.
3. Click Continue/Place Order.</t>
  </si>
  <si>
    <t>Card Number: 4111 1111 1111 1111 | Expiry: 12/28 | CVV: 123</t>
  </si>
  <si>
    <t>The payment details are accepted and validated (via test/sandbox gateway), allowing the order to proceed.</t>
  </si>
  <si>
    <t>TC_0251</t>
  </si>
  <si>
    <t>Enter an invalid credit card number during checkout</t>
  </si>
  <si>
    <t>User has selected 'Credit Card' as the payment method.</t>
  </si>
  <si>
    <t>1. Enter an invalid/incorrectly formatted card number.
2. Enter a valid expiry date and CVV.
3. Click Place Order.</t>
  </si>
  <si>
    <t>Card Number: 1234 5678 9012</t>
  </si>
  <si>
    <t>The application blocks the transaction and displays a validation message indicating the card number is invalid.</t>
  </si>
  <si>
    <t>TC_0252</t>
  </si>
  <si>
    <t>Enter an expired credit card during checkout</t>
  </si>
  <si>
    <t>1. Enter a valid card number and CVV.
2. Enter an expiry date that has already passed.
3. Click Place Order.</t>
  </si>
  <si>
    <t>Expiry Date: 01/20 (expired)</t>
  </si>
  <si>
    <t>The application rejects the payment attempt and displays a message indicating the card has expired.</t>
  </si>
  <si>
    <t>Order placed successfully with valid billing, shipping, and payment data.</t>
  </si>
  <si>
    <t>2026-09-20</t>
  </si>
  <si>
    <t>TC_0253</t>
  </si>
  <si>
    <t>Select 'Cash on Delivery' as the payment method</t>
  </si>
  <si>
    <t>Cash on Delivery is an available payment option and the delivery address qualifies.</t>
  </si>
  <si>
    <t>1. Reach the Payment step of checkout.
2. Select 'Cash on Delivery' as the payment method.
3. Click Place Order.</t>
  </si>
  <si>
    <t>Payment Method: Cash on Delivery</t>
  </si>
  <si>
    <t>The order is placed successfully without requiring card details, and the order summary reflects COD as the payment method.</t>
  </si>
  <si>
    <t>TC_0254</t>
  </si>
  <si>
    <t>Apply a valid coupon/promo code during the checkout process</t>
  </si>
  <si>
    <t>A valid coupon code exists and the cart meets its eligibility criteria.</t>
  </si>
  <si>
    <t>1. Reach the checkout order summary step.
2. Enter a valid coupon code in the promo field.
3. Click Apply.</t>
  </si>
  <si>
    <t>The discount is applied and reflected accurately in the checkout order summary total.</t>
  </si>
  <si>
    <t>TC_0255</t>
  </si>
  <si>
    <t>Verify the order summary displays the correct items, quantities, and totals before placing the order</t>
  </si>
  <si>
    <t>User has reached the final Review/Order Summary step of checkout.</t>
  </si>
  <si>
    <t>1. Review the order summary section listing items, quantities, subtotal, tax, shipping, and grand total.
2. Compare against the cart contents prior to checkout.</t>
  </si>
  <si>
    <t>The order summary accurately reflects every item, quantity, and calculated amount from the cart with no discrepancies.</t>
  </si>
  <si>
    <t>TC_0256</t>
  </si>
  <si>
    <t>Place an order successfully with fully valid data</t>
  </si>
  <si>
    <t>All checkout steps (billing, shipping, payment) have been completed with valid data.</t>
  </si>
  <si>
    <t>1. Complete billing, shipping, and payment information with valid data.
2. Review the order summary.
3. Click 'Place Order'.</t>
  </si>
  <si>
    <t>All checkout fields valid</t>
  </si>
  <si>
    <t>The order is placed successfully, the cart is cleared, and the user is shown an order confirmation with a unique order number.</t>
  </si>
  <si>
    <t>TC_0257</t>
  </si>
  <si>
    <t>Verify duplicate order submission is prevented when the Place Order button is double-clicked</t>
  </si>
  <si>
    <t>User has completed all checkout steps and is ready to place the order.</t>
  </si>
  <si>
    <t>1. Complete all checkout steps with valid data.
2. Rapidly double-click the 'Place Order' button before the page responds.</t>
  </si>
  <si>
    <t>Only a single order is created; the button becomes disabled or shows a loading indicator after the first click, preventing a duplicate charge/order.</t>
  </si>
  <si>
    <t>TC_0258</t>
  </si>
  <si>
    <t>Simulate a payment failure/decline and verify error handling</t>
  </si>
  <si>
    <t>The payment gateway is configured with a test card known to trigger a decline response.</t>
  </si>
  <si>
    <t>1. Reach the Payment step of checkout.
2. Enter a test card number known to simulate a decline.
3. Click Place Order.</t>
  </si>
  <si>
    <t>Test Card: 4000 0000 0000 0002 (decline simulation)</t>
  </si>
  <si>
    <t>The application displays a clear payment failure message and allows the user to retry with different payment details without losing cart contents.</t>
  </si>
  <si>
    <t>Duplicate order was created when the Place Order button was double-clicked rapidly.</t>
  </si>
  <si>
    <t>BUG_005</t>
  </si>
  <si>
    <t>TC_0259</t>
  </si>
  <si>
    <t>Verify the order confirmation page/message is displayed after a successful order</t>
  </si>
  <si>
    <t>An order has just been placed successfully.</t>
  </si>
  <si>
    <t>1. Complete the checkout process and click Place Order.
2. Observe the resulting confirmation page.</t>
  </si>
  <si>
    <t>An order confirmation page is displayed showing the order number, order summary, and estimated delivery information.</t>
  </si>
  <si>
    <t>TC_0260</t>
  </si>
  <si>
    <t>Verify an order confirmation email is sent after a successful order</t>
  </si>
  <si>
    <t>An order has just been placed successfully using a valid email address.</t>
  </si>
  <si>
    <t>1. Complete the checkout process and place an order.
2. Check the associated mailbox inbox.</t>
  </si>
  <si>
    <t>An order confirmation email is received containing accurate order details matching the on-screen confirmation.</t>
  </si>
  <si>
    <t>TC_0261</t>
  </si>
  <si>
    <t>Verify the user can navigate back to edit the cart from the checkout page before placing the order</t>
  </si>
  <si>
    <t>User is at an intermediate checkout step (e.g., Shipping) with items in the cart.</t>
  </si>
  <si>
    <t>1. Reach an intermediate checkout step.
2. Click 'Edit Cart' or navigate back to the Cart page.
3. Modify item quantity.
4. Return to checkout.</t>
  </si>
  <si>
    <t>The user can successfully navigate back to the cart, make changes, and resume checkout with updated totals reflected correctly.</t>
  </si>
  <si>
    <t>TC_0262</t>
  </si>
  <si>
    <t>Verify the checkout session times out appropriately after a period of inactivity</t>
  </si>
  <si>
    <t>User has started the checkout process and the session has a defined inactivity timeout.</t>
  </si>
  <si>
    <t>1. Begin the checkout process.
2. Leave the checkout page idle for longer than the configured session timeout.
3. Attempt to click 'Place Order'.</t>
  </si>
  <si>
    <t>The session is expired and the user is redirected to log in again or restart checkout, with a clear session-timeout message displayed.</t>
  </si>
  <si>
    <t>TC_0263</t>
  </si>
  <si>
    <t>View account profile information on the My Account page</t>
  </si>
  <si>
    <t>User is logged in with a registered account.</t>
  </si>
  <si>
    <t>1. Log in with valid credentials.
2. Navigate to the My Account / Profile page.</t>
  </si>
  <si>
    <t>The user's profile information (name, email, phone) is displayed accurately, matching the stored account data.</t>
  </si>
  <si>
    <t>TC_0264</t>
  </si>
  <si>
    <t>Edit and successfully update profile information</t>
  </si>
  <si>
    <t>User is logged in and on the Edit Profile page.</t>
  </si>
  <si>
    <t>1. Navigate to the Edit Profile section.
2. Update the phone number field with a new valid value.
3. Click Save.</t>
  </si>
  <si>
    <t>New Phone: +201098765432</t>
  </si>
  <si>
    <t>The profile is updated successfully, a confirmation message is displayed, and the new value persists after a page refresh.</t>
  </si>
  <si>
    <t>TC_0265</t>
  </si>
  <si>
    <t>Attempt to update profile information with invalid data</t>
  </si>
  <si>
    <t>1. Navigate to the Edit Profile section.
2. Enter an invalid phone number format.
3. Click Save.</t>
  </si>
  <si>
    <t>Phone: '12A-INVALID'</t>
  </si>
  <si>
    <t>The update is blocked and a validation message 'Please enter a valid phone number' is displayed.</t>
  </si>
  <si>
    <t>Profile updated successfully with new phone number; change persisted after refresh.</t>
  </si>
  <si>
    <t>TC_0266</t>
  </si>
  <si>
    <t>Change account password using the correct current password</t>
  </si>
  <si>
    <t>User is logged in and on the Change Password section.</t>
  </si>
  <si>
    <t>1. Navigate to the Change Password section.
2. Enter the correct current password.
3. Enter a new password meeting complexity rules and confirm it.
4. Click Update Password.</t>
  </si>
  <si>
    <t>Current Password: OldPass123! | New Password: NewPass!456</t>
  </si>
  <si>
    <t>The password is updated successfully, a confirmation message is shown, and the user can log in using the new password afterward.</t>
  </si>
  <si>
    <t>TC_0267</t>
  </si>
  <si>
    <t>Attempt to change the password using an incorrect current password</t>
  </si>
  <si>
    <t>1. Navigate to the Change Password section.
2. Enter an incorrect current password.
3. Enter a valid new password and confirm it.
4. Click Update Password.</t>
  </si>
  <si>
    <t>Current Password: WrongPass1! | New Password: NewPass!456</t>
  </si>
  <si>
    <t>The request is blocked and an error message 'Current password is incorrect' is displayed; the password is not changed.</t>
  </si>
  <si>
    <t>TC_0268</t>
  </si>
  <si>
    <t>View order history listing all past orders</t>
  </si>
  <si>
    <t>The user's account has at least two previously placed orders.</t>
  </si>
  <si>
    <t>1. Log in with an account that has order history.
2. Navigate to the Order History section.</t>
  </si>
  <si>
    <t>Orders: #1001, #1002</t>
  </si>
  <si>
    <t>All past orders are listed accurately with correct order numbers, dates, statuses, and totals.</t>
  </si>
  <si>
    <t>TC_0269</t>
  </si>
  <si>
    <t>Navigate to the Wishlist from the My Account menu</t>
  </si>
  <si>
    <t>1. Log in and navigate to My Account.
2. Click the 'Wishlist' menu item.</t>
  </si>
  <si>
    <t>The user is navigated to the Wishlist page displaying their saved products correctly.</t>
  </si>
  <si>
    <t>TC_0270</t>
  </si>
  <si>
    <t>Verify the My Account navigation menu displays all expected sections</t>
  </si>
  <si>
    <t>1. Log in and navigate to My Account.
2. Observe the account navigation menu.</t>
  </si>
  <si>
    <t>Expected sections: Profile, Orders, Wishlist, Addresses, Change Password</t>
  </si>
  <si>
    <t>All expected account sections (Profile, Orders, Wishlist, Addresses, Change Password) are present and each link navigates correctly.</t>
  </si>
  <si>
    <t>Account navigation menu displayed all expected sections and links worked.</t>
  </si>
  <si>
    <t>TC_0271</t>
  </si>
  <si>
    <t>Logout successfully from the My Account page</t>
  </si>
  <si>
    <t>User is logged in and on the My Account page.</t>
  </si>
  <si>
    <t>1. Navigate to the My Account page.
2. Click the Logout option from the account menu.</t>
  </si>
  <si>
    <t>The user is logged out successfully and redirected to the homepage or login page, with the session terminated.</t>
  </si>
  <si>
    <t>Comments</t>
  </si>
  <si>
    <t>Bug ID</t>
  </si>
  <si>
    <t>Summary</t>
  </si>
  <si>
    <t>Severity</t>
  </si>
  <si>
    <t>Environment</t>
  </si>
  <si>
    <t>Steps to Reproduce</t>
  </si>
  <si>
    <t>Assigned To</t>
  </si>
  <si>
    <t>Created Date</t>
  </si>
  <si>
    <t>Closed Date</t>
  </si>
  <si>
    <t>Duplicate account created with an already-registered email</t>
  </si>
  <si>
    <t>High</t>
  </si>
  <si>
    <t>Open</t>
  </si>
  <si>
    <t>Staging - Chrome 128</t>
  </si>
  <si>
    <t>1. Register a new account using an email that already exists in the system.
2. Submit the registration form.</t>
  </si>
  <si>
    <t>Registration should be blocked with an 'account already exists' error message.</t>
  </si>
  <si>
    <t>The account was created successfully with no error, resulting in a duplicate email in the database.</t>
  </si>
  <si>
    <t>Dev Team - Backend</t>
  </si>
  <si>
    <t>Account lockout not enforced after repeated failed login attempts</t>
  </si>
  <si>
    <t>Critical</t>
  </si>
  <si>
    <t>1. Attempt to log in with an incorrect password 5 times consecutively.
2. Attempt a 6th login.</t>
  </si>
  <si>
    <t>The account should be temporarily locked after 5 failed attempts, with a lockout message on the 6th attempt.</t>
  </si>
  <si>
    <t>No lockout occurred; the 6th attempt was processed as a normal login retry.</t>
  </si>
  <si>
    <t>Search field vulnerable to SQL injection payload causing server error</t>
  </si>
  <si>
    <t>New</t>
  </si>
  <si>
    <t>1. Enter a SQL injection payload ( ' OR '1'='1 ) into the search bar.
2. Submit the search.</t>
  </si>
  <si>
    <t>The input should be safely handled as plain text, returning no results without any server error.</t>
  </si>
  <si>
    <t>The server returned an HTTP 500 error page instead of handling the input safely.</t>
  </si>
  <si>
    <t>Expired coupon code incorrectly accepted and discount applied</t>
  </si>
  <si>
    <t>1. Add items to the cart.
2. Apply a coupon code that has passed its expiration date.</t>
  </si>
  <si>
    <t>The expired coupon should be rejected with an 'invalid or expired coupon' message.</t>
  </si>
  <si>
    <t>The expired coupon was accepted and the discount was applied to the order total.</t>
  </si>
  <si>
    <t>Duplicate order created on rapid double-click of Place Order</t>
  </si>
  <si>
    <t>Only one order should be created; the button should disable after the first click.</t>
  </si>
  <si>
    <t>Two separate orders were created for a single checkout attempt, resulting in a duplicate charge risk.</t>
  </si>
  <si>
    <t>Dev Team - Frontend</t>
  </si>
  <si>
    <t>Requirement ID</t>
  </si>
  <si>
    <t>Requirement / Feature</t>
  </si>
  <si>
    <t>Related Test Scenario</t>
  </si>
  <si>
    <t>REQ_001</t>
  </si>
  <si>
    <t>The system shall allow a new user to create an account by providing mandatory registration details, validating all inputs, and preventing duplicate accounts.</t>
  </si>
  <si>
    <t>REQ_002</t>
  </si>
  <si>
    <t>The system shall allow a registered user to securely authenticate using their email and password, including session and lockout handling.</t>
  </si>
  <si>
    <t>REQ_003</t>
  </si>
  <si>
    <t>The system shall allow an authenticated user to securely terminate their session at any time.</t>
  </si>
  <si>
    <t>REQ_004</t>
  </si>
  <si>
    <t>The system shall allow a user who forgot their password to securely reset it via a time-limited, single-use email link.</t>
  </si>
  <si>
    <t>REQ_005</t>
  </si>
  <si>
    <t>The system shall allow users to search the product catalog by keyword, SKU, or partial match, with sorting, filtering, and pagination.</t>
  </si>
  <si>
    <t>REQ_006</t>
  </si>
  <si>
    <t>The system shall allow users to select multiple products and view a side-by-side comparison of their attributes.</t>
  </si>
  <si>
    <t>REQ_007</t>
  </si>
  <si>
    <t>The system shall display complete, accurate product information including price, images, variants, stock, and reviews on the Product Display Page.</t>
  </si>
  <si>
    <t>REQ_008</t>
  </si>
  <si>
    <t>The system shall allow users to add available products to their shopping cart with the desired quantity and variant.</t>
  </si>
  <si>
    <t>REQ_009</t>
  </si>
  <si>
    <t>The system shall allow logged-in users to save products of interest to a persistent wishlist for later purchase.</t>
  </si>
  <si>
    <t>REQ_010</t>
  </si>
  <si>
    <t>The system shall allow users to review, modify, and accurately price the contents of their shopping cart prior to checkout.</t>
  </si>
  <si>
    <t>REQ_011</t>
  </si>
  <si>
    <t>The system shall present an engaging, functional homepage that provides entry points to key site sections and promotions.</t>
  </si>
  <si>
    <t>REQ_012</t>
  </si>
  <si>
    <t>The system shall allow users to securely complete the purchase of items in their cart through a guided, validated checkout process.</t>
  </si>
  <si>
    <t>REQ_013</t>
  </si>
  <si>
    <t>The system shall allow authenticated users to view and manage their profile, password, and order history.</t>
  </si>
  <si>
    <t>Manual Testing — QA Dashboard</t>
  </si>
  <si>
    <t>E-Commerce Web Application | Live metrics computed from the 'Test Cases' sheet</t>
  </si>
  <si>
    <t>Execution Summary</t>
  </si>
  <si>
    <t>Total Test Cases</t>
  </si>
  <si>
    <t>Pass Rate</t>
  </si>
  <si>
    <t>Fail Rate</t>
  </si>
  <si>
    <t>Test Cases by Priority</t>
  </si>
  <si>
    <t>Test Cases by Module</t>
  </si>
  <si>
    <t>Count</t>
  </si>
  <si>
    <t>Test Execution Status</t>
  </si>
  <si>
    <t>Charts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</si>
</sst>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</numFmts>
  <fonts count="30">
    <font>
      <sz val="11"/>
      <color theme="1"/>
      <name val="Calibri"/>
      <charset val="1"/>
    </font>
    <font>
      <b/>
      <sz val="18"/>
      <color rgb="FF1F4E78"/>
      <name val="Calibri"/>
      <charset val="1"/>
    </font>
    <font>
      <i/>
      <sz val="11"/>
      <color rgb="FF595959"/>
      <name val="Calibri"/>
      <charset val="1"/>
    </font>
    <font>
      <b/>
      <sz val="13"/>
      <color rgb="FFFFFFFF"/>
      <name val="Calibri"/>
      <charset val="1"/>
    </font>
    <font>
      <b/>
      <sz val="9"/>
      <color rgb="FF595959"/>
      <name val="Calibri"/>
      <charset val="1"/>
    </font>
    <font>
      <b/>
      <sz val="16"/>
      <color rgb="FF1F4E78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2E75B6"/>
        <bgColor rgb="FF4F81BD"/>
      </patternFill>
    </fill>
    <fill>
      <patternFill patternType="solid">
        <fgColor rgb="FFD9E1F2"/>
        <bgColor rgb="FFDDEBF7"/>
      </patternFill>
    </fill>
    <fill>
      <patternFill patternType="solid">
        <fgColor rgb="FFEAF1FB"/>
        <bgColor rgb="FFDDEBF7"/>
      </patternFill>
    </fill>
    <fill>
      <patternFill patternType="solid">
        <fgColor rgb="FF1F4E78"/>
        <bgColor rgb="FF003366"/>
      </patternFill>
    </fill>
    <fill>
      <patternFill patternType="solid">
        <fgColor rgb="FFF8CBAD"/>
        <bgColor rgb="FFFFC7CE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9E1F2"/>
      </patternFill>
    </fill>
    <fill>
      <patternFill patternType="solid">
        <fgColor rgb="FFC6EFCE"/>
        <bgColor rgb="FFC6E0B4"/>
      </patternFill>
    </fill>
    <fill>
      <patternFill patternType="solid">
        <fgColor rgb="FFFFC7CE"/>
        <bgColor rgb="FFF8CBAD"/>
      </patternFill>
    </fill>
    <fill>
      <patternFill patternType="solid">
        <fgColor rgb="FFFFEB9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5" applyNumberFormat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21" fillId="16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0" xfId="0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2" borderId="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76" fontId="5" fillId="4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0" fontId="8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fill>
        <patternFill patternType="solid">
          <bgColor rgb="FFF8CBAD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EFDA"/>
        </patternFill>
      </fill>
    </dxf>
    <dxf>
      <font>
        <name val="Calibri"/>
        <scheme val="none"/>
        <charset val="1"/>
        <family val="0"/>
        <sz val="10"/>
        <color rgb="FF006100"/>
      </font>
      <fill>
        <patternFill patternType="solid">
          <bgColor rgb="FFC6EFCE"/>
        </patternFill>
      </fill>
    </dxf>
    <dxf>
      <font>
        <name val="Calibri"/>
        <scheme val="none"/>
        <charset val="1"/>
        <family val="0"/>
        <sz val="10"/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family val="0"/>
        <sz val="10"/>
        <color rgb="FF9C6500"/>
      </font>
      <fill>
        <patternFill patternType="solid">
          <bgColor rgb="FFFFEB9C"/>
        </patternFill>
      </fill>
    </dxf>
    <dxf>
      <font>
        <name val="Calibri"/>
        <scheme val="none"/>
        <charset val="1"/>
        <family val="0"/>
        <sz val="10"/>
        <color rgb="FF595959"/>
      </font>
      <fill>
        <patternFill patternType="solid">
          <bgColor rgb="FFD9D9D9"/>
        </patternFill>
      </fill>
    </dxf>
    <dxf>
      <font>
        <name val="Calibri"/>
        <scheme val="none"/>
        <charset val="1"/>
        <family val="0"/>
        <b val="1"/>
        <sz val="10"/>
        <color rgb="FFFFFFFF"/>
      </font>
      <fill>
        <patternFill patternType="solid">
          <bgColor rgb="FFFF0000"/>
        </patternFill>
      </fill>
    </dxf>
    <dxf>
      <font>
        <name val="Calibri"/>
        <scheme val="none"/>
        <charset val="1"/>
        <family val="0"/>
        <b val="1"/>
        <sz val="10"/>
        <color rgb="FF000000"/>
      </font>
      <fill>
        <patternFill patternType="solid">
          <bgColor rgb="FFFFC000"/>
        </patternFill>
      </fill>
    </dxf>
    <dxf>
      <font>
        <name val="Calibri"/>
        <scheme val="none"/>
        <charset val="1"/>
        <family val="0"/>
        <sz val="10"/>
        <color rgb="FF000000"/>
      </font>
      <fill>
        <patternFill patternType="solid">
          <bgColor rgb="FFFFFF00"/>
        </patternFill>
      </fill>
    </dxf>
    <dxf>
      <font>
        <name val="Calibri"/>
        <scheme val="none"/>
        <charset val="1"/>
        <family val="0"/>
        <sz val="10"/>
        <color rgb="FF000000"/>
      </font>
      <fill>
        <patternFill patternType="solid">
          <bgColor rgb="FFC6E0B4"/>
        </patternFill>
      </fill>
    </dxf>
    <dxf>
      <fill>
        <patternFill patternType="solid">
          <bgColor rgb="FFD9E1F2"/>
        </patternFill>
      </fill>
    </dxf>
    <dxf>
      <fill>
        <patternFill patternType="solid">
          <bgColor rgb="FFDDEBF7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rgb="FFD9D9D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008080"/>
      <rgbColor rgb="00B7B7B7"/>
      <rgbColor rgb="00878787"/>
      <rgbColor rgb="00E2EFDA"/>
      <rgbColor rgb="00C0504D"/>
      <rgbColor rgb="00FFF2CC"/>
      <rgbColor rgb="00DDEBF7"/>
      <rgbColor rgb="00660066"/>
      <rgbColor rgb="00FF8080"/>
      <rgbColor rgb="000066CC"/>
      <rgbColor rgb="00D9D9D9"/>
      <rgbColor rgb="00000080"/>
      <rgbColor rgb="00FF00FF"/>
      <rgbColor rgb="00FCE4D6"/>
      <rgbColor rgb="0000FFFF"/>
      <rgbColor rgb="00800080"/>
      <rgbColor rgb="00800000"/>
      <rgbColor rgb="00008080"/>
      <rgbColor rgb="000000FF"/>
      <rgbColor rgb="0000CCFF"/>
      <rgbColor rgb="00EAF1FB"/>
      <rgbColor rgb="00C6EFCE"/>
      <rgbColor rgb="00FFEB9C"/>
      <rgbColor rgb="00C6E0B4"/>
      <rgbColor rgb="00FFC7CE"/>
      <rgbColor rgb="00D9E1F2"/>
      <rgbColor rgb="00F8CBAD"/>
      <rgbColor rgb="002E75B6"/>
      <rgbColor rgb="004BACC6"/>
      <rgbColor rgb="009BBB59"/>
      <rgbColor rgb="00FFC000"/>
      <rgbColor rgb="00FF9900"/>
      <rgbColor rgb="00FF6600"/>
      <rgbColor rgb="008064A2"/>
      <rgbColor rgb="00969696"/>
      <rgbColor rgb="00003366"/>
      <rgbColor rgb="004F81BD"/>
      <rgbColor rgb="00003300"/>
      <rgbColor rgb="00333300"/>
      <rgbColor rgb="00993300"/>
      <rgbColor rgb="00993366"/>
      <rgbColor rgb="001F4E78"/>
      <rgbColor rgb="00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Test Execution Status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Dashboard!$C$28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spc="-1" baseline="0">
                      <a:solidFill>
                        <a:srgbClr val="000000"/>
                      </a:solidFill>
                      <a:latin typeface="Calibri" panose="020F0502020204030204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Dashboard!$B$29:$B$33</c:f>
              <c:strCache>
                <c:ptCount val="5"/>
                <c:pt idx="0">
                  <c:v>Not Run</c:v>
                </c:pt>
                <c:pt idx="1">
                  <c:v>Pass</c:v>
                </c:pt>
                <c:pt idx="2">
                  <c:v>Fail</c:v>
                </c:pt>
                <c:pt idx="3">
                  <c:v>Blocked</c:v>
                </c:pt>
                <c:pt idx="4">
                  <c:v>N/A</c:v>
                </c:pt>
              </c:strCache>
            </c:strRef>
          </c:cat>
          <c:val>
            <c:numRef>
              <c:f>Dashboard!$C$29:$C$33</c:f>
              <c:numCache>
                <c:formatCode>General</c:formatCode>
                <c:ptCount val="5"/>
                <c:pt idx="0">
                  <c:v>196</c:v>
                </c:pt>
                <c:pt idx="1">
                  <c:v>69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df14d7d-090b-45f5-97ee-4378516e8404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Test Cases by Priority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Dashboard!$B$12:$B$15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P4</c:v>
                </c:pt>
              </c:strCache>
            </c:strRef>
          </c:cat>
          <c:val>
            <c:numRef>
              <c:f>Dashboard!$C$12:$C$15</c:f>
              <c:numCache>
                <c:formatCode>General</c:formatCode>
                <c:ptCount val="4"/>
                <c:pt idx="0">
                  <c:v>61</c:v>
                </c:pt>
                <c:pt idx="1">
                  <c:v>121</c:v>
                </c:pt>
                <c:pt idx="2">
                  <c:v>44</c:v>
                </c:pt>
                <c:pt idx="3">
                  <c:v>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19879624"/>
        <c:axId val="46241083"/>
      </c:barChart>
      <c:catAx>
        <c:axId val="198796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Priority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6241083"/>
        <c:crosses val="autoZero"/>
        <c:auto val="1"/>
        <c:lblAlgn val="ctr"/>
        <c:lblOffset val="100"/>
        <c:noMultiLvlLbl val="0"/>
      </c:catAx>
      <c:valAx>
        <c:axId val="46241083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Number of Test Cases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98796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d2b3d22-1292-4793-83fc-20d3ae55d96c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Test Cases by Module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spc="-1" baseline="0">
                    <a:solidFill>
                      <a:srgbClr val="000000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Dashboard!$E$12:$E$24</c:f>
              <c:strCache>
                <c:ptCount val="13"/>
                <c:pt idx="0">
                  <c:v>Register</c:v>
                </c:pt>
                <c:pt idx="1">
                  <c:v>Login</c:v>
                </c:pt>
                <c:pt idx="2">
                  <c:v>Logout</c:v>
                </c:pt>
                <c:pt idx="3">
                  <c:v>Forgot Password</c:v>
                </c:pt>
                <c:pt idx="4">
                  <c:v>Search</c:v>
                </c:pt>
                <c:pt idx="5">
                  <c:v>Product Compare</c:v>
                </c:pt>
                <c:pt idx="6">
                  <c:v>Product Display Page</c:v>
                </c:pt>
                <c:pt idx="7">
                  <c:v>Add to Cart</c:v>
                </c:pt>
                <c:pt idx="8">
                  <c:v>Wish List</c:v>
                </c:pt>
                <c:pt idx="9">
                  <c:v>Shopping Cart</c:v>
                </c:pt>
                <c:pt idx="10">
                  <c:v>Home Page</c:v>
                </c:pt>
                <c:pt idx="11">
                  <c:v>Checkout</c:v>
                </c:pt>
                <c:pt idx="12">
                  <c:v>My Account</c:v>
                </c:pt>
              </c:strCache>
            </c:strRef>
          </c:cat>
          <c:val>
            <c:numRef>
              <c:f>Dashboard!$F$12:$F$24</c:f>
              <c:numCache>
                <c:formatCode>General</c:formatCode>
                <c:ptCount val="13"/>
                <c:pt idx="0">
                  <c:v>27</c:v>
                </c:pt>
                <c:pt idx="1">
                  <c:v>23</c:v>
                </c:pt>
                <c:pt idx="2">
                  <c:v>11</c:v>
                </c:pt>
                <c:pt idx="3">
                  <c:v>25</c:v>
                </c:pt>
                <c:pt idx="4">
                  <c:v>22</c:v>
                </c:pt>
                <c:pt idx="5">
                  <c:v>24</c:v>
                </c:pt>
                <c:pt idx="6">
                  <c:v>37</c:v>
                </c:pt>
                <c:pt idx="7">
                  <c:v>9</c:v>
                </c:pt>
                <c:pt idx="8">
                  <c:v>21</c:v>
                </c:pt>
                <c:pt idx="9">
                  <c:v>33</c:v>
                </c:pt>
                <c:pt idx="10">
                  <c:v>10</c:v>
                </c:pt>
                <c:pt idx="11">
                  <c:v>20</c:v>
                </c:pt>
                <c:pt idx="12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1"/>
        </c:dLbls>
        <c:gapWidth val="150"/>
        <c:overlap val="0"/>
        <c:axId val="40219997"/>
        <c:axId val="36290307"/>
      </c:barChart>
      <c:catAx>
        <c:axId val="4021999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Number of Test Cases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6290307"/>
        <c:crosses val="autoZero"/>
        <c:auto val="1"/>
        <c:lblAlgn val="ctr"/>
        <c:lblOffset val="100"/>
        <c:noMultiLvlLbl val="0"/>
      </c:catAx>
      <c:valAx>
        <c:axId val="36290307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Module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02199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f6832d1-19fe-4acc-a28e-281b134fd06b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35</xdr:row>
      <xdr:rowOff>135360</xdr:rowOff>
    </xdr:from>
    <xdr:to>
      <xdr:col>4</xdr:col>
      <xdr:colOff>857520</xdr:colOff>
      <xdr:row>51</xdr:row>
      <xdr:rowOff>89280</xdr:rowOff>
    </xdr:to>
    <xdr:graphicFrame>
      <xdr:nvGraphicFramePr>
        <xdr:cNvPr id="2" name="Chart 1"/>
        <xdr:cNvGraphicFramePr/>
      </xdr:nvGraphicFramePr>
      <xdr:xfrm>
        <a:off x="205740" y="7465695"/>
        <a:ext cx="3874770" cy="294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35</xdr:row>
      <xdr:rowOff>135360</xdr:rowOff>
    </xdr:from>
    <xdr:to>
      <xdr:col>15</xdr:col>
      <xdr:colOff>455400</xdr:colOff>
      <xdr:row>51</xdr:row>
      <xdr:rowOff>89280</xdr:rowOff>
    </xdr:to>
    <xdr:graphicFrame>
      <xdr:nvGraphicFramePr>
        <xdr:cNvPr id="3" name="Chart 2"/>
        <xdr:cNvGraphicFramePr/>
      </xdr:nvGraphicFramePr>
      <xdr:xfrm>
        <a:off x="8435340" y="7465695"/>
        <a:ext cx="3863975" cy="294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35</xdr:row>
      <xdr:rowOff>135360</xdr:rowOff>
    </xdr:from>
    <xdr:to>
      <xdr:col>25</xdr:col>
      <xdr:colOff>146880</xdr:colOff>
      <xdr:row>51</xdr:row>
      <xdr:rowOff>89280</xdr:rowOff>
    </xdr:to>
    <xdr:graphicFrame>
      <xdr:nvGraphicFramePr>
        <xdr:cNvPr id="4" name="Chart 3"/>
        <xdr:cNvGraphicFramePr/>
      </xdr:nvGraphicFramePr>
      <xdr:xfrm>
        <a:off x="13034010" y="7465695"/>
        <a:ext cx="4906645" cy="2944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TestScenariosTable" displayName="TestScenariosTable" ref="A1:E14" totalsRowShown="0">
  <autoFilter xmlns:etc="http://www.wps.cn/officeDocument/2017/etCustomData" ref="A1:E14" etc:filterBottomFollowUsedRange="0"/>
  <tableColumns count="5">
    <tableColumn id="1" name="Test Scenario ID"/>
    <tableColumn id="2" name="Reference"/>
    <tableColumn id="3" name="Test Scenario Description"/>
    <tableColumn id="4" name="Priority"/>
    <tableColumn id="5" name="Number of Test Cas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4" name="TestCasesTable" displayName="TestCasesTable" ref="A1:P272" totalsRowShown="0">
  <autoFilter xmlns:etc="http://www.wps.cn/officeDocument/2017/etCustomData" ref="A1:P272" etc:filterBottomFollowUsedRange="0"/>
  <tableColumns count="16">
    <tableColumn id="1" name="Test Case ID"/>
    <tableColumn id="2" name="Test Scenario ID"/>
    <tableColumn id="3" name="Reference"/>
    <tableColumn id="4" name="Module"/>
    <tableColumn id="5" name="Test Case Title"/>
    <tableColumn id="6" name="Preconditions"/>
    <tableColumn id="7" name="Test Steps"/>
    <tableColumn id="8" name="Test Data"/>
    <tableColumn id="9" name="Expected Result"/>
    <tableColumn id="10" name="Priority"/>
    <tableColumn id="11" name="Test Type"/>
    <tableColumn id="12" name="Status"/>
    <tableColumn id="13" name="Actual Result"/>
    <tableColumn id="14" name="Defect ID"/>
    <tableColumn id="15" name="Executed By"/>
    <tableColumn id="16" name="Execution Da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estCasesSimpleTable" displayName="TestCasesSimpleTable" ref="A1:E272" totalsRowShown="0">
  <autoFilter xmlns:etc="http://www.wps.cn/officeDocument/2017/etCustomData" ref="A1:E272" etc:filterBottomFollowUsedRange="0"/>
  <tableColumns count="5">
    <tableColumn id="1" name="Test Case ID"/>
    <tableColumn id="2" name="Test Case Title"/>
    <tableColumn id="3" name="Test Steps"/>
    <tableColumn id="4" name="Test Data"/>
    <tableColumn id="5" name="Expected Resul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TestExecutionTable" displayName="TestExecutionTable" ref="A1:I272" totalsRowShown="0">
  <autoFilter xmlns:etc="http://www.wps.cn/officeDocument/2017/etCustomData" ref="A1:I272" etc:filterBottomFollowUsedRange="0"/>
  <tableColumns count="9">
    <tableColumn id="1" name="Test Case ID"/>
    <tableColumn id="2" name="Test Scenario ID"/>
    <tableColumn id="3" name="Module"/>
    <tableColumn id="4" name="Priority"/>
    <tableColumn id="5" name="Status"/>
    <tableColumn id="6" name="Executed By"/>
    <tableColumn id="7" name="Execution Date"/>
    <tableColumn id="8" name="Defect ID"/>
    <tableColumn id="9" name="Comment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" name="BugTrackerTable" displayName="BugTrackerTable" ref="A1:N61" totalsRowShown="0">
  <autoFilter xmlns:etc="http://www.wps.cn/officeDocument/2017/etCustomData" ref="A1:N61" etc:filterBottomFollowUsedRange="0"/>
  <tableColumns count="14">
    <tableColumn id="1" name="Bug ID"/>
    <tableColumn id="2" name="Summary"/>
    <tableColumn id="3" name="Test Case ID"/>
    <tableColumn id="4" name="Module"/>
    <tableColumn id="5" name="Severity"/>
    <tableColumn id="6" name="Priority"/>
    <tableColumn id="7" name="Status"/>
    <tableColumn id="8" name="Environment"/>
    <tableColumn id="9" name="Steps to Reproduce"/>
    <tableColumn id="10" name="Expected Result"/>
    <tableColumn id="11" name="Actual Result"/>
    <tableColumn id="12" name="Assigned To"/>
    <tableColumn id="13" name="Created Date"/>
    <tableColumn id="14" name="Closed Dat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2" name="RequirementsTable" displayName="RequirementsTable" ref="A1:E14" totalsRowShown="0">
  <autoFilter xmlns:etc="http://www.wps.cn/officeDocument/2017/etCustomData" ref="A1:E14" etc:filterBottomFollowUsedRange="0"/>
  <tableColumns count="5">
    <tableColumn id="1" name="Requirement ID"/>
    <tableColumn id="2" name="Reference"/>
    <tableColumn id="3" name="Requirement / Feature"/>
    <tableColumn id="4" name="Related Test Scenario"/>
    <tableColumn id="5" name="Prior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15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4"/>
  <cols>
    <col min="1" max="1" width="16" style="1" customWidth="1"/>
    <col min="2" max="2" width="12" style="1" customWidth="1"/>
    <col min="3" max="3" width="45" style="1" customWidth="1"/>
    <col min="4" max="4" width="10" style="1" customWidth="1"/>
    <col min="5" max="5" width="20" style="1" customWidth="1"/>
  </cols>
  <sheetData>
    <row r="1" ht="31.5" customHeight="1" spans="1: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</row>
    <row r="2" ht="15" customHeight="1" spans="1:5">
      <c r="A2" s="10" t="s">
        <v>5</v>
      </c>
      <c r="B2" s="10" t="s">
        <v>6</v>
      </c>
      <c r="C2" s="11" t="s">
        <v>7</v>
      </c>
      <c r="D2" s="10" t="s">
        <v>8</v>
      </c>
      <c r="E2" s="10">
        <v>27</v>
      </c>
    </row>
    <row r="3" ht="15" customHeight="1" spans="1:5">
      <c r="A3" s="10" t="s">
        <v>9</v>
      </c>
      <c r="B3" s="10" t="s">
        <v>6</v>
      </c>
      <c r="C3" s="11" t="s">
        <v>10</v>
      </c>
      <c r="D3" s="10" t="s">
        <v>8</v>
      </c>
      <c r="E3" s="10">
        <v>23</v>
      </c>
    </row>
    <row r="4" ht="15" customHeight="1" spans="1:5">
      <c r="A4" s="10" t="s">
        <v>11</v>
      </c>
      <c r="B4" s="10" t="s">
        <v>6</v>
      </c>
      <c r="C4" s="11" t="s">
        <v>12</v>
      </c>
      <c r="D4" s="10" t="s">
        <v>8</v>
      </c>
      <c r="E4" s="10">
        <v>11</v>
      </c>
    </row>
    <row r="5" ht="15" customHeight="1" spans="1:5">
      <c r="A5" s="10" t="s">
        <v>13</v>
      </c>
      <c r="B5" s="10" t="s">
        <v>6</v>
      </c>
      <c r="C5" s="11" t="s">
        <v>14</v>
      </c>
      <c r="D5" s="10" t="s">
        <v>15</v>
      </c>
      <c r="E5" s="10">
        <v>25</v>
      </c>
    </row>
    <row r="6" ht="15" customHeight="1" spans="1:5">
      <c r="A6" s="10" t="s">
        <v>16</v>
      </c>
      <c r="B6" s="10" t="s">
        <v>6</v>
      </c>
      <c r="C6" s="11" t="s">
        <v>17</v>
      </c>
      <c r="D6" s="10" t="s">
        <v>18</v>
      </c>
      <c r="E6" s="10">
        <v>22</v>
      </c>
    </row>
    <row r="7" ht="15" customHeight="1" spans="1:5">
      <c r="A7" s="10" t="s">
        <v>19</v>
      </c>
      <c r="B7" s="10" t="s">
        <v>6</v>
      </c>
      <c r="C7" s="11" t="s">
        <v>20</v>
      </c>
      <c r="D7" s="10" t="s">
        <v>21</v>
      </c>
      <c r="E7" s="10">
        <v>24</v>
      </c>
    </row>
    <row r="8" ht="15" customHeight="1" spans="1:5">
      <c r="A8" s="10" t="s">
        <v>22</v>
      </c>
      <c r="B8" s="10" t="s">
        <v>6</v>
      </c>
      <c r="C8" s="11" t="s">
        <v>23</v>
      </c>
      <c r="D8" s="10" t="s">
        <v>18</v>
      </c>
      <c r="E8" s="10">
        <v>37</v>
      </c>
    </row>
    <row r="9" ht="15" customHeight="1" spans="1:5">
      <c r="A9" s="10" t="s">
        <v>24</v>
      </c>
      <c r="B9" s="10" t="s">
        <v>6</v>
      </c>
      <c r="C9" s="11" t="s">
        <v>25</v>
      </c>
      <c r="D9" s="10" t="s">
        <v>18</v>
      </c>
      <c r="E9" s="10">
        <v>9</v>
      </c>
    </row>
    <row r="10" ht="15" customHeight="1" spans="1:5">
      <c r="A10" s="10" t="s">
        <v>26</v>
      </c>
      <c r="B10" s="10" t="s">
        <v>6</v>
      </c>
      <c r="C10" s="11" t="s">
        <v>27</v>
      </c>
      <c r="D10" s="10" t="s">
        <v>21</v>
      </c>
      <c r="E10" s="10">
        <v>21</v>
      </c>
    </row>
    <row r="11" ht="15" customHeight="1" spans="1:5">
      <c r="A11" s="10" t="s">
        <v>28</v>
      </c>
      <c r="B11" s="10" t="s">
        <v>6</v>
      </c>
      <c r="C11" s="11" t="s">
        <v>29</v>
      </c>
      <c r="D11" s="10" t="s">
        <v>18</v>
      </c>
      <c r="E11" s="10">
        <v>33</v>
      </c>
    </row>
    <row r="12" ht="15" customHeight="1" spans="1:5">
      <c r="A12" s="10" t="s">
        <v>30</v>
      </c>
      <c r="B12" s="10" t="s">
        <v>6</v>
      </c>
      <c r="C12" s="11" t="s">
        <v>31</v>
      </c>
      <c r="D12" s="10" t="s">
        <v>15</v>
      </c>
      <c r="E12" s="10">
        <v>10</v>
      </c>
    </row>
    <row r="13" ht="15" customHeight="1" spans="1:5">
      <c r="A13" s="10" t="s">
        <v>32</v>
      </c>
      <c r="B13" s="10" t="s">
        <v>6</v>
      </c>
      <c r="C13" s="11" t="s">
        <v>33</v>
      </c>
      <c r="D13" s="10" t="s">
        <v>18</v>
      </c>
      <c r="E13" s="10">
        <v>20</v>
      </c>
    </row>
    <row r="14" ht="15" customHeight="1" spans="1:5">
      <c r="A14" s="10" t="s">
        <v>34</v>
      </c>
      <c r="B14" s="10" t="s">
        <v>6</v>
      </c>
      <c r="C14" s="11" t="s">
        <v>35</v>
      </c>
      <c r="D14" s="10" t="s">
        <v>15</v>
      </c>
      <c r="E14" s="10">
        <v>9</v>
      </c>
    </row>
    <row r="15" ht="15" customHeight="1" spans="1:5">
      <c r="C15" s="21" t="s">
        <v>36</v>
      </c>
      <c r="E15" s="22">
        <f>SUM(E2:E14)</f>
        <v>271</v>
      </c>
    </row>
  </sheetData>
  <conditionalFormatting sqref="D2:D14">
    <cfRule type="cellIs" dxfId="0" priority="2" operator="equal">
      <formula>"P0"</formula>
    </cfRule>
    <cfRule type="cellIs" dxfId="1" priority="3" operator="equal">
      <formula>"P1"</formula>
    </cfRule>
    <cfRule type="cellIs" dxfId="2" priority="4" operator="equal">
      <formula>"P2"</formula>
    </cfRule>
    <cfRule type="cellIs" dxfId="3" priority="5" operator="equal">
      <formula>"P4"</formula>
    </cfRule>
  </conditionalFormatting>
  <pageMargins left="0.75" right="0.75" top="1" bottom="1" header="0.511811023622047" footer="0.511811023622047"/>
  <pageSetup paperSize="1" orientation="landscape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2"/>
  <sheetViews>
    <sheetView showGridLines="0" tabSelected="1" topLeftCell="D1" workbookViewId="0">
      <pane ySplit="1" topLeftCell="A68" activePane="bottomLeft" state="frozen"/>
      <selection/>
      <selection pane="bottomLeft" activeCell="I70" sqref="I70"/>
    </sheetView>
  </sheetViews>
  <sheetFormatPr defaultColWidth="8.67592592592593" defaultRowHeight="14.4"/>
  <cols>
    <col min="1" max="1" width="12" style="1" customWidth="1"/>
    <col min="2" max="2" width="15" style="1" customWidth="1"/>
    <col min="3" max="3" width="11" style="1" customWidth="1"/>
    <col min="4" max="4" width="20" style="1" customWidth="1"/>
    <col min="5" max="5" width="30" style="1" customWidth="1"/>
    <col min="6" max="6" width="26" style="1" customWidth="1"/>
    <col min="7" max="7" width="42" style="1" customWidth="1"/>
    <col min="8" max="8" width="26" style="1" customWidth="1"/>
    <col min="9" max="9" width="34" style="1" customWidth="1"/>
    <col min="10" max="10" width="10" style="1" customWidth="1"/>
    <col min="11" max="11" width="20" style="1" customWidth="1"/>
    <col min="12" max="12" width="12" style="1" customWidth="1"/>
    <col min="13" max="13" width="22" style="1" customWidth="1"/>
    <col min="14" max="14" width="12" style="1" customWidth="1"/>
    <col min="15" max="15" width="14" style="1" customWidth="1"/>
    <col min="16" max="16" width="16" style="1" customWidth="1"/>
  </cols>
  <sheetData>
    <row r="1" ht="31.5" customHeight="1" spans="1:16">
      <c r="A1" s="19" t="s">
        <v>37</v>
      </c>
      <c r="B1" s="19" t="s">
        <v>0</v>
      </c>
      <c r="C1" s="19" t="s">
        <v>1</v>
      </c>
      <c r="D1" s="19" t="s">
        <v>38</v>
      </c>
      <c r="E1" s="19" t="s">
        <v>39</v>
      </c>
      <c r="F1" s="19" t="s">
        <v>40</v>
      </c>
      <c r="G1" s="19" t="s">
        <v>41</v>
      </c>
      <c r="H1" s="19" t="s">
        <v>42</v>
      </c>
      <c r="I1" s="19" t="s">
        <v>43</v>
      </c>
      <c r="J1" s="19" t="s">
        <v>3</v>
      </c>
      <c r="K1" s="19" t="s">
        <v>44</v>
      </c>
      <c r="L1" s="19" t="s">
        <v>45</v>
      </c>
      <c r="M1" s="19" t="s">
        <v>46</v>
      </c>
      <c r="N1" s="19" t="s">
        <v>47</v>
      </c>
      <c r="O1" s="19" t="s">
        <v>48</v>
      </c>
      <c r="P1" s="19" t="s">
        <v>49</v>
      </c>
    </row>
    <row r="2" ht="90" customHeight="1" spans="1:16">
      <c r="A2" s="20" t="s">
        <v>50</v>
      </c>
      <c r="B2" s="20" t="s">
        <v>5</v>
      </c>
      <c r="C2" s="20" t="s">
        <v>6</v>
      </c>
      <c r="D2" s="20" t="s">
        <v>51</v>
      </c>
      <c r="E2" s="11" t="s">
        <v>52</v>
      </c>
      <c r="F2" s="11" t="s">
        <v>53</v>
      </c>
      <c r="G2" s="11" t="s">
        <v>54</v>
      </c>
      <c r="H2" s="11" t="s">
        <v>55</v>
      </c>
      <c r="I2" s="11" t="s">
        <v>56</v>
      </c>
      <c r="J2" s="20" t="s">
        <v>8</v>
      </c>
      <c r="K2" s="20" t="s">
        <v>57</v>
      </c>
      <c r="L2" s="20" t="s">
        <v>58</v>
      </c>
      <c r="M2" s="20" t="s">
        <v>59</v>
      </c>
      <c r="N2" s="20"/>
      <c r="O2" s="20" t="s">
        <v>60</v>
      </c>
      <c r="P2" s="20" t="s">
        <v>61</v>
      </c>
    </row>
    <row r="3" ht="90" customHeight="1" spans="1:16">
      <c r="A3" s="20" t="s">
        <v>62</v>
      </c>
      <c r="B3" s="20" t="s">
        <v>5</v>
      </c>
      <c r="C3" s="20" t="s">
        <v>6</v>
      </c>
      <c r="D3" s="20" t="s">
        <v>51</v>
      </c>
      <c r="E3" s="11" t="s">
        <v>63</v>
      </c>
      <c r="F3" s="11" t="s">
        <v>64</v>
      </c>
      <c r="G3" s="11" t="s">
        <v>65</v>
      </c>
      <c r="H3" s="11" t="s">
        <v>66</v>
      </c>
      <c r="I3" s="11" t="s">
        <v>67</v>
      </c>
      <c r="J3" s="20" t="s">
        <v>8</v>
      </c>
      <c r="K3" s="20" t="s">
        <v>68</v>
      </c>
      <c r="L3" s="20" t="s">
        <v>58</v>
      </c>
      <c r="M3" s="20" t="s">
        <v>69</v>
      </c>
      <c r="N3" s="20"/>
      <c r="O3" s="20" t="s">
        <v>70</v>
      </c>
      <c r="P3" s="20" t="s">
        <v>61</v>
      </c>
    </row>
    <row r="4" ht="90" customHeight="1" spans="1:16">
      <c r="A4" s="20" t="s">
        <v>71</v>
      </c>
      <c r="B4" s="20" t="s">
        <v>5</v>
      </c>
      <c r="C4" s="20" t="s">
        <v>6</v>
      </c>
      <c r="D4" s="20" t="s">
        <v>51</v>
      </c>
      <c r="E4" s="11" t="s">
        <v>72</v>
      </c>
      <c r="F4" s="11" t="s">
        <v>64</v>
      </c>
      <c r="G4" s="11" t="s">
        <v>73</v>
      </c>
      <c r="H4" s="11" t="s">
        <v>74</v>
      </c>
      <c r="I4" s="11" t="s">
        <v>75</v>
      </c>
      <c r="J4" s="20" t="s">
        <v>8</v>
      </c>
      <c r="K4" s="20" t="s">
        <v>68</v>
      </c>
      <c r="L4" s="20" t="s">
        <v>58</v>
      </c>
      <c r="M4" s="20"/>
      <c r="N4" s="20"/>
      <c r="O4" s="20"/>
      <c r="P4" s="20"/>
    </row>
    <row r="5" ht="90" customHeight="1" spans="1:16">
      <c r="A5" s="20" t="s">
        <v>76</v>
      </c>
      <c r="B5" s="20" t="s">
        <v>5</v>
      </c>
      <c r="C5" s="20" t="s">
        <v>6</v>
      </c>
      <c r="D5" s="20" t="s">
        <v>51</v>
      </c>
      <c r="E5" s="11" t="s">
        <v>77</v>
      </c>
      <c r="F5" s="11" t="s">
        <v>64</v>
      </c>
      <c r="G5" s="11" t="s">
        <v>78</v>
      </c>
      <c r="H5" s="11" t="s">
        <v>79</v>
      </c>
      <c r="I5" s="11" t="s">
        <v>80</v>
      </c>
      <c r="J5" s="20" t="s">
        <v>8</v>
      </c>
      <c r="K5" s="20" t="s">
        <v>68</v>
      </c>
      <c r="L5" s="20" t="s">
        <v>58</v>
      </c>
      <c r="M5" s="20"/>
      <c r="N5" s="20"/>
      <c r="O5" s="20"/>
      <c r="P5" s="20"/>
    </row>
    <row r="6" ht="90" customHeight="1" spans="1:16">
      <c r="A6" s="20" t="s">
        <v>81</v>
      </c>
      <c r="B6" s="20" t="s">
        <v>5</v>
      </c>
      <c r="C6" s="20" t="s">
        <v>6</v>
      </c>
      <c r="D6" s="20" t="s">
        <v>51</v>
      </c>
      <c r="E6" s="11" t="s">
        <v>82</v>
      </c>
      <c r="F6" s="11" t="s">
        <v>64</v>
      </c>
      <c r="G6" s="11" t="s">
        <v>83</v>
      </c>
      <c r="H6" s="11" t="s">
        <v>84</v>
      </c>
      <c r="I6" s="11" t="s">
        <v>85</v>
      </c>
      <c r="J6" s="20" t="s">
        <v>8</v>
      </c>
      <c r="K6" s="20" t="s">
        <v>68</v>
      </c>
      <c r="L6" s="20" t="s">
        <v>58</v>
      </c>
      <c r="M6" s="20"/>
      <c r="N6" s="20"/>
      <c r="O6" s="20"/>
      <c r="P6" s="20"/>
    </row>
    <row r="7" ht="90" customHeight="1" spans="1:16">
      <c r="A7" s="20" t="s">
        <v>86</v>
      </c>
      <c r="B7" s="20" t="s">
        <v>5</v>
      </c>
      <c r="C7" s="20" t="s">
        <v>6</v>
      </c>
      <c r="D7" s="20" t="s">
        <v>51</v>
      </c>
      <c r="E7" s="11" t="s">
        <v>87</v>
      </c>
      <c r="F7" s="11" t="s">
        <v>64</v>
      </c>
      <c r="G7" s="11" t="s">
        <v>88</v>
      </c>
      <c r="H7" s="11" t="s">
        <v>89</v>
      </c>
      <c r="I7" s="11" t="s">
        <v>90</v>
      </c>
      <c r="J7" s="20" t="s">
        <v>8</v>
      </c>
      <c r="K7" s="20" t="s">
        <v>68</v>
      </c>
      <c r="L7" s="20" t="s">
        <v>58</v>
      </c>
      <c r="M7" s="20"/>
      <c r="N7" s="20"/>
      <c r="O7" s="20"/>
      <c r="P7" s="20"/>
    </row>
    <row r="8" ht="90" customHeight="1" spans="1:16">
      <c r="A8" s="20" t="s">
        <v>91</v>
      </c>
      <c r="B8" s="20" t="s">
        <v>5</v>
      </c>
      <c r="C8" s="20" t="s">
        <v>6</v>
      </c>
      <c r="D8" s="20" t="s">
        <v>51</v>
      </c>
      <c r="E8" s="11" t="s">
        <v>92</v>
      </c>
      <c r="F8" s="11" t="s">
        <v>64</v>
      </c>
      <c r="G8" s="11" t="s">
        <v>93</v>
      </c>
      <c r="H8" s="11" t="s">
        <v>94</v>
      </c>
      <c r="I8" s="11" t="s">
        <v>95</v>
      </c>
      <c r="J8" s="20" t="s">
        <v>8</v>
      </c>
      <c r="K8" s="20" t="s">
        <v>96</v>
      </c>
      <c r="L8" s="20" t="s">
        <v>58</v>
      </c>
      <c r="M8" s="20"/>
      <c r="N8" s="20"/>
      <c r="O8" s="20"/>
      <c r="P8" s="20"/>
    </row>
    <row r="9" ht="90" customHeight="1" spans="1:16">
      <c r="A9" s="20" t="s">
        <v>97</v>
      </c>
      <c r="B9" s="20" t="s">
        <v>5</v>
      </c>
      <c r="C9" s="20" t="s">
        <v>6</v>
      </c>
      <c r="D9" s="20" t="s">
        <v>51</v>
      </c>
      <c r="E9" s="11" t="s">
        <v>98</v>
      </c>
      <c r="F9" s="11" t="s">
        <v>64</v>
      </c>
      <c r="G9" s="11" t="s">
        <v>99</v>
      </c>
      <c r="H9" s="11" t="s">
        <v>100</v>
      </c>
      <c r="I9" s="11" t="s">
        <v>95</v>
      </c>
      <c r="J9" s="20" t="s">
        <v>8</v>
      </c>
      <c r="K9" s="20" t="s">
        <v>96</v>
      </c>
      <c r="L9" s="20" t="s">
        <v>58</v>
      </c>
      <c r="M9" s="20"/>
      <c r="N9" s="20"/>
      <c r="O9" s="20"/>
      <c r="P9" s="20"/>
    </row>
    <row r="10" ht="90" customHeight="1" spans="1:16">
      <c r="A10" s="20" t="s">
        <v>101</v>
      </c>
      <c r="B10" s="20" t="s">
        <v>5</v>
      </c>
      <c r="C10" s="20" t="s">
        <v>6</v>
      </c>
      <c r="D10" s="20" t="s">
        <v>51</v>
      </c>
      <c r="E10" s="11" t="s">
        <v>102</v>
      </c>
      <c r="F10" s="11" t="s">
        <v>103</v>
      </c>
      <c r="G10" s="11" t="s">
        <v>104</v>
      </c>
      <c r="H10" s="11" t="s">
        <v>105</v>
      </c>
      <c r="I10" s="11" t="s">
        <v>106</v>
      </c>
      <c r="J10" s="20" t="s">
        <v>8</v>
      </c>
      <c r="K10" s="20" t="s">
        <v>107</v>
      </c>
      <c r="L10" s="20" t="s">
        <v>108</v>
      </c>
      <c r="M10" s="20" t="s">
        <v>109</v>
      </c>
      <c r="N10" s="20" t="s">
        <v>110</v>
      </c>
      <c r="O10" s="20" t="s">
        <v>70</v>
      </c>
      <c r="P10" s="20" t="s">
        <v>61</v>
      </c>
    </row>
    <row r="11" ht="90" customHeight="1" spans="1:16">
      <c r="A11" s="20" t="s">
        <v>111</v>
      </c>
      <c r="B11" s="20" t="s">
        <v>5</v>
      </c>
      <c r="C11" s="20" t="s">
        <v>6</v>
      </c>
      <c r="D11" s="20" t="s">
        <v>51</v>
      </c>
      <c r="E11" s="11" t="s">
        <v>112</v>
      </c>
      <c r="F11" s="11" t="s">
        <v>113</v>
      </c>
      <c r="G11" s="11" t="s">
        <v>114</v>
      </c>
      <c r="H11" s="11" t="s">
        <v>115</v>
      </c>
      <c r="I11" s="11" t="s">
        <v>116</v>
      </c>
      <c r="J11" s="20" t="s">
        <v>8</v>
      </c>
      <c r="K11" s="20" t="s">
        <v>117</v>
      </c>
      <c r="L11" s="20" t="s">
        <v>118</v>
      </c>
      <c r="M11" s="20"/>
      <c r="N11" s="20"/>
      <c r="O11" s="20"/>
      <c r="P11" s="20"/>
    </row>
    <row r="12" ht="90" customHeight="1" spans="1:16">
      <c r="A12" s="20" t="s">
        <v>119</v>
      </c>
      <c r="B12" s="20" t="s">
        <v>5</v>
      </c>
      <c r="C12" s="20" t="s">
        <v>6</v>
      </c>
      <c r="D12" s="20" t="s">
        <v>51</v>
      </c>
      <c r="E12" s="11" t="s">
        <v>120</v>
      </c>
      <c r="F12" s="11" t="s">
        <v>113</v>
      </c>
      <c r="G12" s="11" t="s">
        <v>121</v>
      </c>
      <c r="H12" s="11" t="s">
        <v>122</v>
      </c>
      <c r="I12" s="11" t="s">
        <v>123</v>
      </c>
      <c r="J12" s="20" t="s">
        <v>8</v>
      </c>
      <c r="K12" s="20" t="s">
        <v>117</v>
      </c>
      <c r="L12" s="20" t="s">
        <v>118</v>
      </c>
      <c r="M12" s="20"/>
      <c r="N12" s="20"/>
      <c r="O12" s="20"/>
      <c r="P12" s="20"/>
    </row>
    <row r="13" ht="90" customHeight="1" spans="1:16">
      <c r="A13" s="20" t="s">
        <v>124</v>
      </c>
      <c r="B13" s="20" t="s">
        <v>5</v>
      </c>
      <c r="C13" s="20" t="s">
        <v>6</v>
      </c>
      <c r="D13" s="20" t="s">
        <v>51</v>
      </c>
      <c r="E13" s="11" t="s">
        <v>125</v>
      </c>
      <c r="F13" s="11" t="s">
        <v>126</v>
      </c>
      <c r="G13" s="11" t="s">
        <v>127</v>
      </c>
      <c r="H13" s="11" t="s">
        <v>128</v>
      </c>
      <c r="I13" s="11" t="s">
        <v>129</v>
      </c>
      <c r="J13" s="20" t="s">
        <v>8</v>
      </c>
      <c r="K13" s="20" t="s">
        <v>117</v>
      </c>
      <c r="L13" s="20" t="s">
        <v>118</v>
      </c>
      <c r="M13" s="20"/>
      <c r="N13" s="20"/>
      <c r="O13" s="20"/>
      <c r="P13" s="20"/>
    </row>
    <row r="14" ht="90" customHeight="1" spans="1:16">
      <c r="A14" s="20" t="s">
        <v>130</v>
      </c>
      <c r="B14" s="20" t="s">
        <v>5</v>
      </c>
      <c r="C14" s="20" t="s">
        <v>6</v>
      </c>
      <c r="D14" s="20" t="s">
        <v>51</v>
      </c>
      <c r="E14" s="11" t="s">
        <v>131</v>
      </c>
      <c r="F14" s="11" t="s">
        <v>64</v>
      </c>
      <c r="G14" s="11" t="s">
        <v>132</v>
      </c>
      <c r="H14" s="11" t="s">
        <v>133</v>
      </c>
      <c r="I14" s="11" t="s">
        <v>134</v>
      </c>
      <c r="J14" s="20" t="s">
        <v>8</v>
      </c>
      <c r="K14" s="20" t="s">
        <v>135</v>
      </c>
      <c r="L14" s="20" t="s">
        <v>58</v>
      </c>
      <c r="M14" s="20" t="s">
        <v>136</v>
      </c>
      <c r="N14" s="20"/>
      <c r="O14" s="20" t="s">
        <v>60</v>
      </c>
      <c r="P14" s="20" t="s">
        <v>61</v>
      </c>
    </row>
    <row r="15" ht="90" customHeight="1" spans="1:16">
      <c r="A15" s="20" t="s">
        <v>137</v>
      </c>
      <c r="B15" s="20" t="s">
        <v>5</v>
      </c>
      <c r="C15" s="20" t="s">
        <v>6</v>
      </c>
      <c r="D15" s="20" t="s">
        <v>51</v>
      </c>
      <c r="E15" s="11" t="s">
        <v>138</v>
      </c>
      <c r="F15" s="11" t="s">
        <v>64</v>
      </c>
      <c r="G15" s="11" t="s">
        <v>139</v>
      </c>
      <c r="H15" s="11" t="s">
        <v>140</v>
      </c>
      <c r="I15" s="11" t="s">
        <v>141</v>
      </c>
      <c r="J15" s="20" t="s">
        <v>8</v>
      </c>
      <c r="K15" s="20" t="s">
        <v>135</v>
      </c>
      <c r="L15" s="20" t="s">
        <v>58</v>
      </c>
      <c r="M15" s="20"/>
      <c r="N15" s="20"/>
      <c r="O15" s="20"/>
      <c r="P15" s="20"/>
    </row>
    <row r="16" ht="90" customHeight="1" spans="1:16">
      <c r="A16" s="20" t="s">
        <v>142</v>
      </c>
      <c r="B16" s="20" t="s">
        <v>5</v>
      </c>
      <c r="C16" s="20" t="s">
        <v>6</v>
      </c>
      <c r="D16" s="20" t="s">
        <v>51</v>
      </c>
      <c r="E16" s="11" t="s">
        <v>143</v>
      </c>
      <c r="F16" s="11" t="s">
        <v>64</v>
      </c>
      <c r="G16" s="11" t="s">
        <v>144</v>
      </c>
      <c r="H16" s="11" t="s">
        <v>145</v>
      </c>
      <c r="I16" s="11" t="s">
        <v>146</v>
      </c>
      <c r="J16" s="20" t="s">
        <v>8</v>
      </c>
      <c r="K16" s="20" t="s">
        <v>135</v>
      </c>
      <c r="L16" s="20" t="s">
        <v>58</v>
      </c>
      <c r="M16" s="20"/>
      <c r="N16" s="20"/>
      <c r="O16" s="20"/>
      <c r="P16" s="20"/>
    </row>
    <row r="17" ht="90" customHeight="1" spans="1:16">
      <c r="A17" s="20" t="s">
        <v>147</v>
      </c>
      <c r="B17" s="20" t="s">
        <v>5</v>
      </c>
      <c r="C17" s="20" t="s">
        <v>6</v>
      </c>
      <c r="D17" s="20" t="s">
        <v>51</v>
      </c>
      <c r="E17" s="11" t="s">
        <v>148</v>
      </c>
      <c r="F17" s="11" t="s">
        <v>64</v>
      </c>
      <c r="G17" s="11" t="s">
        <v>149</v>
      </c>
      <c r="H17" s="11" t="s">
        <v>150</v>
      </c>
      <c r="I17" s="11" t="s">
        <v>151</v>
      </c>
      <c r="J17" s="20" t="s">
        <v>8</v>
      </c>
      <c r="K17" s="20" t="s">
        <v>152</v>
      </c>
      <c r="L17" s="20" t="s">
        <v>58</v>
      </c>
      <c r="M17" s="20"/>
      <c r="N17" s="20"/>
      <c r="O17" s="20"/>
      <c r="P17" s="20"/>
    </row>
    <row r="18" ht="90" customHeight="1" spans="1:16">
      <c r="A18" s="20" t="s">
        <v>153</v>
      </c>
      <c r="B18" s="20" t="s">
        <v>5</v>
      </c>
      <c r="C18" s="20" t="s">
        <v>6</v>
      </c>
      <c r="D18" s="20" t="s">
        <v>51</v>
      </c>
      <c r="E18" s="11" t="s">
        <v>154</v>
      </c>
      <c r="F18" s="11" t="s">
        <v>64</v>
      </c>
      <c r="G18" s="11" t="s">
        <v>155</v>
      </c>
      <c r="H18" s="11" t="s">
        <v>156</v>
      </c>
      <c r="I18" s="11" t="s">
        <v>157</v>
      </c>
      <c r="J18" s="20" t="s">
        <v>8</v>
      </c>
      <c r="K18" s="20" t="s">
        <v>158</v>
      </c>
      <c r="L18" s="20" t="s">
        <v>58</v>
      </c>
      <c r="M18" s="20"/>
      <c r="N18" s="20"/>
      <c r="O18" s="20"/>
      <c r="P18" s="20"/>
    </row>
    <row r="19" ht="90" customHeight="1" spans="1:16">
      <c r="A19" s="20" t="s">
        <v>159</v>
      </c>
      <c r="B19" s="20" t="s">
        <v>5</v>
      </c>
      <c r="C19" s="20" t="s">
        <v>6</v>
      </c>
      <c r="D19" s="20" t="s">
        <v>51</v>
      </c>
      <c r="E19" s="11" t="s">
        <v>160</v>
      </c>
      <c r="F19" s="11" t="s">
        <v>64</v>
      </c>
      <c r="G19" s="11" t="s">
        <v>161</v>
      </c>
      <c r="H19" s="11" t="s">
        <v>162</v>
      </c>
      <c r="I19" s="11" t="s">
        <v>163</v>
      </c>
      <c r="J19" s="20" t="s">
        <v>8</v>
      </c>
      <c r="K19" s="20" t="s">
        <v>158</v>
      </c>
      <c r="L19" s="20" t="s">
        <v>58</v>
      </c>
      <c r="M19" s="20"/>
      <c r="N19" s="20"/>
      <c r="O19" s="20"/>
      <c r="P19" s="20"/>
    </row>
    <row r="20" ht="90" customHeight="1" spans="1:16">
      <c r="A20" s="20" t="s">
        <v>164</v>
      </c>
      <c r="B20" s="20" t="s">
        <v>5</v>
      </c>
      <c r="C20" s="20" t="s">
        <v>6</v>
      </c>
      <c r="D20" s="20" t="s">
        <v>51</v>
      </c>
      <c r="E20" s="11" t="s">
        <v>165</v>
      </c>
      <c r="F20" s="11" t="s">
        <v>64</v>
      </c>
      <c r="G20" s="11" t="s">
        <v>166</v>
      </c>
      <c r="H20" s="11" t="s">
        <v>167</v>
      </c>
      <c r="I20" s="11" t="s">
        <v>168</v>
      </c>
      <c r="J20" s="20" t="s">
        <v>8</v>
      </c>
      <c r="K20" s="20" t="s">
        <v>169</v>
      </c>
      <c r="L20" s="20" t="s">
        <v>58</v>
      </c>
      <c r="M20" s="20"/>
      <c r="N20" s="20"/>
      <c r="O20" s="20"/>
      <c r="P20" s="20"/>
    </row>
    <row r="21" ht="90" customHeight="1" spans="1:16">
      <c r="A21" s="20" t="s">
        <v>170</v>
      </c>
      <c r="B21" s="20" t="s">
        <v>5</v>
      </c>
      <c r="C21" s="20" t="s">
        <v>6</v>
      </c>
      <c r="D21" s="20" t="s">
        <v>51</v>
      </c>
      <c r="E21" s="11" t="s">
        <v>171</v>
      </c>
      <c r="F21" s="11" t="s">
        <v>64</v>
      </c>
      <c r="G21" s="11" t="s">
        <v>172</v>
      </c>
      <c r="H21" s="11" t="s">
        <v>173</v>
      </c>
      <c r="I21" s="11" t="s">
        <v>174</v>
      </c>
      <c r="J21" s="20" t="s">
        <v>8</v>
      </c>
      <c r="K21" s="20" t="s">
        <v>135</v>
      </c>
      <c r="L21" s="20" t="s">
        <v>58</v>
      </c>
      <c r="M21" s="20"/>
      <c r="N21" s="20"/>
      <c r="O21" s="20"/>
      <c r="P21" s="20"/>
    </row>
    <row r="22" ht="90" customHeight="1" spans="1:16">
      <c r="A22" s="20" t="s">
        <v>175</v>
      </c>
      <c r="B22" s="20" t="s">
        <v>5</v>
      </c>
      <c r="C22" s="20" t="s">
        <v>6</v>
      </c>
      <c r="D22" s="20" t="s">
        <v>51</v>
      </c>
      <c r="E22" s="11" t="s">
        <v>176</v>
      </c>
      <c r="F22" s="11" t="s">
        <v>64</v>
      </c>
      <c r="G22" s="11" t="s">
        <v>177</v>
      </c>
      <c r="H22" s="11" t="s">
        <v>178</v>
      </c>
      <c r="I22" s="11" t="s">
        <v>179</v>
      </c>
      <c r="J22" s="20" t="s">
        <v>8</v>
      </c>
      <c r="K22" s="20" t="s">
        <v>135</v>
      </c>
      <c r="L22" s="20" t="s">
        <v>58</v>
      </c>
      <c r="M22" s="20"/>
      <c r="N22" s="20"/>
      <c r="O22" s="20"/>
      <c r="P22" s="20"/>
    </row>
    <row r="23" ht="90" customHeight="1" spans="1:16">
      <c r="A23" s="20" t="s">
        <v>180</v>
      </c>
      <c r="B23" s="20" t="s">
        <v>5</v>
      </c>
      <c r="C23" s="20" t="s">
        <v>6</v>
      </c>
      <c r="D23" s="20" t="s">
        <v>51</v>
      </c>
      <c r="E23" s="11" t="s">
        <v>181</v>
      </c>
      <c r="F23" s="11" t="s">
        <v>182</v>
      </c>
      <c r="G23" s="11" t="s">
        <v>183</v>
      </c>
      <c r="H23" s="11" t="s">
        <v>184</v>
      </c>
      <c r="I23" s="11" t="s">
        <v>185</v>
      </c>
      <c r="J23" s="20" t="s">
        <v>8</v>
      </c>
      <c r="K23" s="20" t="s">
        <v>186</v>
      </c>
      <c r="L23" s="20" t="s">
        <v>58</v>
      </c>
      <c r="M23" s="20"/>
      <c r="N23" s="20"/>
      <c r="O23" s="20"/>
      <c r="P23" s="20"/>
    </row>
    <row r="24" ht="90" customHeight="1" spans="1:16">
      <c r="A24" s="20" t="s">
        <v>187</v>
      </c>
      <c r="B24" s="20" t="s">
        <v>5</v>
      </c>
      <c r="C24" s="20" t="s">
        <v>6</v>
      </c>
      <c r="D24" s="20" t="s">
        <v>51</v>
      </c>
      <c r="E24" s="11" t="s">
        <v>188</v>
      </c>
      <c r="F24" s="11" t="s">
        <v>189</v>
      </c>
      <c r="G24" s="11" t="s">
        <v>190</v>
      </c>
      <c r="H24" s="11" t="s">
        <v>191</v>
      </c>
      <c r="I24" s="11" t="s">
        <v>192</v>
      </c>
      <c r="J24" s="20" t="s">
        <v>8</v>
      </c>
      <c r="K24" s="20" t="s">
        <v>57</v>
      </c>
      <c r="L24" s="20" t="s">
        <v>58</v>
      </c>
      <c r="M24" s="20"/>
      <c r="N24" s="20"/>
      <c r="O24" s="20"/>
      <c r="P24" s="20"/>
    </row>
    <row r="25" ht="90" customHeight="1" spans="1:16">
      <c r="A25" s="20" t="s">
        <v>193</v>
      </c>
      <c r="B25" s="20" t="s">
        <v>5</v>
      </c>
      <c r="C25" s="20" t="s">
        <v>6</v>
      </c>
      <c r="D25" s="20" t="s">
        <v>51</v>
      </c>
      <c r="E25" s="11" t="s">
        <v>194</v>
      </c>
      <c r="F25" s="11" t="s">
        <v>64</v>
      </c>
      <c r="G25" s="11" t="s">
        <v>195</v>
      </c>
      <c r="H25" s="11" t="s">
        <v>196</v>
      </c>
      <c r="I25" s="11" t="s">
        <v>197</v>
      </c>
      <c r="J25" s="20" t="s">
        <v>8</v>
      </c>
      <c r="K25" s="20" t="s">
        <v>96</v>
      </c>
      <c r="L25" s="20" t="s">
        <v>58</v>
      </c>
      <c r="M25" s="20"/>
      <c r="N25" s="20"/>
      <c r="O25" s="20"/>
      <c r="P25" s="20"/>
    </row>
    <row r="26" ht="90" customHeight="1" spans="1:16">
      <c r="A26" s="20" t="s">
        <v>198</v>
      </c>
      <c r="B26" s="20" t="s">
        <v>5</v>
      </c>
      <c r="C26" s="20" t="s">
        <v>6</v>
      </c>
      <c r="D26" s="20" t="s">
        <v>51</v>
      </c>
      <c r="E26" s="11" t="s">
        <v>199</v>
      </c>
      <c r="F26" s="11" t="s">
        <v>200</v>
      </c>
      <c r="G26" s="11" t="s">
        <v>201</v>
      </c>
      <c r="H26" s="11" t="s">
        <v>202</v>
      </c>
      <c r="I26" s="11" t="s">
        <v>203</v>
      </c>
      <c r="J26" s="20" t="s">
        <v>8</v>
      </c>
      <c r="K26" s="20" t="s">
        <v>204</v>
      </c>
      <c r="L26" s="20" t="s">
        <v>58</v>
      </c>
      <c r="M26" s="20" t="s">
        <v>205</v>
      </c>
      <c r="N26" s="20"/>
      <c r="O26" s="20" t="s">
        <v>206</v>
      </c>
      <c r="P26" s="20" t="s">
        <v>207</v>
      </c>
    </row>
    <row r="27" ht="90" customHeight="1" spans="1:16">
      <c r="A27" s="20" t="s">
        <v>208</v>
      </c>
      <c r="B27" s="20" t="s">
        <v>5</v>
      </c>
      <c r="C27" s="20" t="s">
        <v>6</v>
      </c>
      <c r="D27" s="20" t="s">
        <v>51</v>
      </c>
      <c r="E27" s="11" t="s">
        <v>209</v>
      </c>
      <c r="F27" s="11" t="s">
        <v>64</v>
      </c>
      <c r="G27" s="11" t="s">
        <v>210</v>
      </c>
      <c r="H27" s="11" t="s">
        <v>211</v>
      </c>
      <c r="I27" s="11" t="s">
        <v>212</v>
      </c>
      <c r="J27" s="20" t="s">
        <v>8</v>
      </c>
      <c r="K27" s="20" t="s">
        <v>213</v>
      </c>
      <c r="L27" s="20" t="s">
        <v>58</v>
      </c>
      <c r="M27" s="20"/>
      <c r="N27" s="20"/>
      <c r="O27" s="20"/>
      <c r="P27" s="20"/>
    </row>
    <row r="28" ht="90" customHeight="1" spans="1:16">
      <c r="A28" s="20" t="s">
        <v>214</v>
      </c>
      <c r="B28" s="20" t="s">
        <v>5</v>
      </c>
      <c r="C28" s="20" t="s">
        <v>6</v>
      </c>
      <c r="D28" s="20" t="s">
        <v>51</v>
      </c>
      <c r="E28" s="11" t="s">
        <v>215</v>
      </c>
      <c r="F28" s="11" t="s">
        <v>64</v>
      </c>
      <c r="G28" s="11" t="s">
        <v>216</v>
      </c>
      <c r="H28" s="11" t="s">
        <v>217</v>
      </c>
      <c r="I28" s="11" t="s">
        <v>218</v>
      </c>
      <c r="J28" s="20" t="s">
        <v>8</v>
      </c>
      <c r="K28" s="20" t="s">
        <v>219</v>
      </c>
      <c r="L28" s="20" t="s">
        <v>58</v>
      </c>
      <c r="M28" s="20"/>
      <c r="N28" s="20"/>
      <c r="O28" s="20"/>
      <c r="P28" s="20"/>
    </row>
    <row r="29" ht="90" customHeight="1" spans="1:16">
      <c r="A29" s="20" t="s">
        <v>220</v>
      </c>
      <c r="B29" s="20" t="s">
        <v>9</v>
      </c>
      <c r="C29" s="20" t="s">
        <v>6</v>
      </c>
      <c r="D29" s="20" t="s">
        <v>221</v>
      </c>
      <c r="E29" s="11" t="s">
        <v>222</v>
      </c>
      <c r="F29" s="11" t="s">
        <v>223</v>
      </c>
      <c r="G29" s="11" t="s">
        <v>224</v>
      </c>
      <c r="H29" s="11" t="s">
        <v>225</v>
      </c>
      <c r="I29" s="11" t="s">
        <v>226</v>
      </c>
      <c r="J29" s="20" t="s">
        <v>8</v>
      </c>
      <c r="K29" s="20" t="s">
        <v>57</v>
      </c>
      <c r="L29" s="20" t="s">
        <v>58</v>
      </c>
      <c r="M29" s="20" t="s">
        <v>227</v>
      </c>
      <c r="N29" s="20"/>
      <c r="O29" s="20" t="s">
        <v>70</v>
      </c>
      <c r="P29" s="20" t="s">
        <v>207</v>
      </c>
    </row>
    <row r="30" ht="90" customHeight="1" spans="1:16">
      <c r="A30" s="20" t="s">
        <v>228</v>
      </c>
      <c r="B30" s="20" t="s">
        <v>9</v>
      </c>
      <c r="C30" s="20" t="s">
        <v>6</v>
      </c>
      <c r="D30" s="20" t="s">
        <v>221</v>
      </c>
      <c r="E30" s="11" t="s">
        <v>229</v>
      </c>
      <c r="F30" s="11" t="s">
        <v>230</v>
      </c>
      <c r="G30" s="11" t="s">
        <v>231</v>
      </c>
      <c r="H30" s="11" t="s">
        <v>232</v>
      </c>
      <c r="I30" s="11" t="s">
        <v>233</v>
      </c>
      <c r="J30" s="20" t="s">
        <v>8</v>
      </c>
      <c r="K30" s="20" t="s">
        <v>234</v>
      </c>
      <c r="L30" s="20" t="s">
        <v>58</v>
      </c>
      <c r="M30" s="20" t="s">
        <v>235</v>
      </c>
      <c r="N30" s="20"/>
      <c r="O30" s="20" t="s">
        <v>70</v>
      </c>
      <c r="P30" s="20" t="s">
        <v>207</v>
      </c>
    </row>
    <row r="31" ht="90" customHeight="1" spans="1:16">
      <c r="A31" s="20" t="s">
        <v>236</v>
      </c>
      <c r="B31" s="20" t="s">
        <v>9</v>
      </c>
      <c r="C31" s="20" t="s">
        <v>6</v>
      </c>
      <c r="D31" s="20" t="s">
        <v>221</v>
      </c>
      <c r="E31" s="11" t="s">
        <v>237</v>
      </c>
      <c r="F31" s="11" t="s">
        <v>238</v>
      </c>
      <c r="G31" s="11" t="s">
        <v>239</v>
      </c>
      <c r="H31" s="11" t="s">
        <v>240</v>
      </c>
      <c r="I31" s="11" t="s">
        <v>241</v>
      </c>
      <c r="J31" s="20" t="s">
        <v>8</v>
      </c>
      <c r="K31" s="20" t="s">
        <v>234</v>
      </c>
      <c r="L31" s="20" t="s">
        <v>58</v>
      </c>
      <c r="M31" s="20"/>
      <c r="N31" s="20"/>
      <c r="O31" s="20"/>
      <c r="P31" s="20"/>
    </row>
    <row r="32" ht="90" customHeight="1" spans="1:16">
      <c r="A32" s="20" t="s">
        <v>242</v>
      </c>
      <c r="B32" s="20" t="s">
        <v>9</v>
      </c>
      <c r="C32" s="20" t="s">
        <v>6</v>
      </c>
      <c r="D32" s="20" t="s">
        <v>221</v>
      </c>
      <c r="E32" s="11" t="s">
        <v>243</v>
      </c>
      <c r="F32" s="11" t="s">
        <v>244</v>
      </c>
      <c r="G32" s="11" t="s">
        <v>245</v>
      </c>
      <c r="H32" s="11" t="s">
        <v>246</v>
      </c>
      <c r="I32" s="11" t="s">
        <v>247</v>
      </c>
      <c r="J32" s="20" t="s">
        <v>8</v>
      </c>
      <c r="K32" s="20" t="s">
        <v>68</v>
      </c>
      <c r="L32" s="20" t="s">
        <v>58</v>
      </c>
      <c r="M32" s="20"/>
      <c r="N32" s="20"/>
      <c r="O32" s="20"/>
      <c r="P32" s="20"/>
    </row>
    <row r="33" ht="90" customHeight="1" spans="1:16">
      <c r="A33" s="20" t="s">
        <v>248</v>
      </c>
      <c r="B33" s="20" t="s">
        <v>9</v>
      </c>
      <c r="C33" s="20" t="s">
        <v>6</v>
      </c>
      <c r="D33" s="20" t="s">
        <v>221</v>
      </c>
      <c r="E33" s="11" t="s">
        <v>249</v>
      </c>
      <c r="F33" s="11" t="s">
        <v>244</v>
      </c>
      <c r="G33" s="11" t="s">
        <v>250</v>
      </c>
      <c r="H33" s="11" t="s">
        <v>251</v>
      </c>
      <c r="I33" s="11" t="s">
        <v>252</v>
      </c>
      <c r="J33" s="20" t="s">
        <v>8</v>
      </c>
      <c r="K33" s="20" t="s">
        <v>68</v>
      </c>
      <c r="L33" s="20" t="s">
        <v>58</v>
      </c>
      <c r="M33" s="20"/>
      <c r="N33" s="20"/>
      <c r="O33" s="20"/>
      <c r="P33" s="20"/>
    </row>
    <row r="34" ht="90" customHeight="1" spans="1:16">
      <c r="A34" s="20" t="s">
        <v>253</v>
      </c>
      <c r="B34" s="20" t="s">
        <v>9</v>
      </c>
      <c r="C34" s="20" t="s">
        <v>6</v>
      </c>
      <c r="D34" s="20" t="s">
        <v>221</v>
      </c>
      <c r="E34" s="11" t="s">
        <v>254</v>
      </c>
      <c r="F34" s="11" t="s">
        <v>244</v>
      </c>
      <c r="G34" s="11" t="s">
        <v>255</v>
      </c>
      <c r="H34" s="11" t="s">
        <v>256</v>
      </c>
      <c r="I34" s="11" t="s">
        <v>257</v>
      </c>
      <c r="J34" s="20" t="s">
        <v>8</v>
      </c>
      <c r="K34" s="20" t="s">
        <v>68</v>
      </c>
      <c r="L34" s="20" t="s">
        <v>58</v>
      </c>
      <c r="M34" s="20"/>
      <c r="N34" s="20"/>
      <c r="O34" s="20"/>
      <c r="P34" s="20"/>
    </row>
    <row r="35" ht="90" customHeight="1" spans="1:16">
      <c r="A35" s="20" t="s">
        <v>258</v>
      </c>
      <c r="B35" s="20" t="s">
        <v>9</v>
      </c>
      <c r="C35" s="20" t="s">
        <v>6</v>
      </c>
      <c r="D35" s="20" t="s">
        <v>221</v>
      </c>
      <c r="E35" s="11" t="s">
        <v>259</v>
      </c>
      <c r="F35" s="11" t="s">
        <v>244</v>
      </c>
      <c r="G35" s="11" t="s">
        <v>260</v>
      </c>
      <c r="H35" s="11" t="s">
        <v>261</v>
      </c>
      <c r="I35" s="11" t="s">
        <v>262</v>
      </c>
      <c r="J35" s="20" t="s">
        <v>8</v>
      </c>
      <c r="K35" s="20" t="s">
        <v>96</v>
      </c>
      <c r="L35" s="20" t="s">
        <v>58</v>
      </c>
      <c r="M35" s="20"/>
      <c r="N35" s="20"/>
      <c r="O35" s="20"/>
      <c r="P35" s="20"/>
    </row>
    <row r="36" ht="90" customHeight="1" spans="1:16">
      <c r="A36" s="20" t="s">
        <v>263</v>
      </c>
      <c r="B36" s="20" t="s">
        <v>9</v>
      </c>
      <c r="C36" s="20" t="s">
        <v>6</v>
      </c>
      <c r="D36" s="20" t="s">
        <v>221</v>
      </c>
      <c r="E36" s="11" t="s">
        <v>264</v>
      </c>
      <c r="F36" s="11" t="s">
        <v>265</v>
      </c>
      <c r="G36" s="11" t="s">
        <v>266</v>
      </c>
      <c r="H36" s="11" t="s">
        <v>225</v>
      </c>
      <c r="I36" s="11" t="s">
        <v>267</v>
      </c>
      <c r="J36" s="20" t="s">
        <v>8</v>
      </c>
      <c r="K36" s="20" t="s">
        <v>169</v>
      </c>
      <c r="L36" s="20" t="s">
        <v>58</v>
      </c>
      <c r="M36" s="20"/>
      <c r="N36" s="20"/>
      <c r="O36" s="20"/>
      <c r="P36" s="20"/>
    </row>
    <row r="37" ht="90" customHeight="1" spans="1:16">
      <c r="A37" s="20" t="s">
        <v>268</v>
      </c>
      <c r="B37" s="20" t="s">
        <v>9</v>
      </c>
      <c r="C37" s="20" t="s">
        <v>6</v>
      </c>
      <c r="D37" s="20" t="s">
        <v>221</v>
      </c>
      <c r="E37" s="11" t="s">
        <v>269</v>
      </c>
      <c r="F37" s="11" t="s">
        <v>244</v>
      </c>
      <c r="G37" s="11" t="s">
        <v>270</v>
      </c>
      <c r="H37" s="11" t="s">
        <v>271</v>
      </c>
      <c r="I37" s="11" t="s">
        <v>272</v>
      </c>
      <c r="J37" s="20" t="s">
        <v>8</v>
      </c>
      <c r="K37" s="20" t="s">
        <v>158</v>
      </c>
      <c r="L37" s="20" t="s">
        <v>58</v>
      </c>
      <c r="M37" s="20"/>
      <c r="N37" s="20"/>
      <c r="O37" s="20"/>
      <c r="P37" s="20"/>
    </row>
    <row r="38" ht="90" customHeight="1" spans="1:16">
      <c r="A38" s="20" t="s">
        <v>273</v>
      </c>
      <c r="B38" s="20" t="s">
        <v>9</v>
      </c>
      <c r="C38" s="20" t="s">
        <v>6</v>
      </c>
      <c r="D38" s="20" t="s">
        <v>221</v>
      </c>
      <c r="E38" s="11" t="s">
        <v>274</v>
      </c>
      <c r="F38" s="11" t="s">
        <v>275</v>
      </c>
      <c r="G38" s="11" t="s">
        <v>276</v>
      </c>
      <c r="H38" s="11" t="s">
        <v>277</v>
      </c>
      <c r="I38" s="11" t="s">
        <v>278</v>
      </c>
      <c r="J38" s="20" t="s">
        <v>8</v>
      </c>
      <c r="K38" s="20" t="s">
        <v>279</v>
      </c>
      <c r="L38" s="20" t="s">
        <v>58</v>
      </c>
      <c r="M38" s="20"/>
      <c r="N38" s="20"/>
      <c r="O38" s="20"/>
      <c r="P38" s="20"/>
    </row>
    <row r="39" ht="90" customHeight="1" spans="1:16">
      <c r="A39" s="20" t="s">
        <v>280</v>
      </c>
      <c r="B39" s="20" t="s">
        <v>9</v>
      </c>
      <c r="C39" s="20" t="s">
        <v>6</v>
      </c>
      <c r="D39" s="20" t="s">
        <v>221</v>
      </c>
      <c r="E39" s="11" t="s">
        <v>281</v>
      </c>
      <c r="F39" s="11" t="s">
        <v>230</v>
      </c>
      <c r="G39" s="11" t="s">
        <v>282</v>
      </c>
      <c r="H39" s="11" t="s">
        <v>283</v>
      </c>
      <c r="I39" s="11" t="s">
        <v>284</v>
      </c>
      <c r="J39" s="20" t="s">
        <v>8</v>
      </c>
      <c r="K39" s="20" t="s">
        <v>279</v>
      </c>
      <c r="L39" s="20" t="s">
        <v>58</v>
      </c>
      <c r="M39" s="20"/>
      <c r="N39" s="20"/>
      <c r="O39" s="20"/>
      <c r="P39" s="20"/>
    </row>
    <row r="40" ht="90" customHeight="1" spans="1:16">
      <c r="A40" s="20" t="s">
        <v>285</v>
      </c>
      <c r="B40" s="20" t="s">
        <v>9</v>
      </c>
      <c r="C40" s="20" t="s">
        <v>6</v>
      </c>
      <c r="D40" s="20" t="s">
        <v>221</v>
      </c>
      <c r="E40" s="11" t="s">
        <v>286</v>
      </c>
      <c r="F40" s="11" t="s">
        <v>244</v>
      </c>
      <c r="G40" s="11" t="s">
        <v>216</v>
      </c>
      <c r="H40" s="11" t="s">
        <v>287</v>
      </c>
      <c r="I40" s="11" t="s">
        <v>288</v>
      </c>
      <c r="J40" s="20" t="s">
        <v>8</v>
      </c>
      <c r="K40" s="20" t="s">
        <v>219</v>
      </c>
      <c r="L40" s="20" t="s">
        <v>58</v>
      </c>
      <c r="M40" s="20"/>
      <c r="N40" s="20"/>
      <c r="O40" s="20"/>
      <c r="P40" s="20"/>
    </row>
    <row r="41" ht="90" customHeight="1" spans="1:16">
      <c r="A41" s="20" t="s">
        <v>289</v>
      </c>
      <c r="B41" s="20" t="s">
        <v>9</v>
      </c>
      <c r="C41" s="20" t="s">
        <v>6</v>
      </c>
      <c r="D41" s="20" t="s">
        <v>221</v>
      </c>
      <c r="E41" s="11" t="s">
        <v>290</v>
      </c>
      <c r="F41" s="11" t="s">
        <v>291</v>
      </c>
      <c r="G41" s="11" t="s">
        <v>292</v>
      </c>
      <c r="H41" s="11" t="s">
        <v>287</v>
      </c>
      <c r="I41" s="11" t="s">
        <v>293</v>
      </c>
      <c r="J41" s="20" t="s">
        <v>8</v>
      </c>
      <c r="K41" s="20" t="s">
        <v>219</v>
      </c>
      <c r="L41" s="20" t="s">
        <v>58</v>
      </c>
      <c r="M41" s="20"/>
      <c r="N41" s="20"/>
      <c r="O41" s="20"/>
      <c r="P41" s="20"/>
    </row>
    <row r="42" ht="90" customHeight="1" spans="1:16">
      <c r="A42" s="20" t="s">
        <v>294</v>
      </c>
      <c r="B42" s="20" t="s">
        <v>9</v>
      </c>
      <c r="C42" s="20" t="s">
        <v>6</v>
      </c>
      <c r="D42" s="20" t="s">
        <v>221</v>
      </c>
      <c r="E42" s="11" t="s">
        <v>295</v>
      </c>
      <c r="F42" s="11" t="s">
        <v>296</v>
      </c>
      <c r="G42" s="11" t="s">
        <v>297</v>
      </c>
      <c r="H42" s="11" t="s">
        <v>298</v>
      </c>
      <c r="I42" s="11" t="s">
        <v>299</v>
      </c>
      <c r="J42" s="20" t="s">
        <v>8</v>
      </c>
      <c r="K42" s="20" t="s">
        <v>158</v>
      </c>
      <c r="L42" s="20" t="s">
        <v>108</v>
      </c>
      <c r="M42" s="20"/>
      <c r="N42" s="20"/>
      <c r="O42" s="20"/>
      <c r="P42" s="20"/>
    </row>
    <row r="43" ht="90" customHeight="1" spans="1:16">
      <c r="A43" s="20" t="s">
        <v>300</v>
      </c>
      <c r="B43" s="20" t="s">
        <v>9</v>
      </c>
      <c r="C43" s="20" t="s">
        <v>6</v>
      </c>
      <c r="D43" s="20" t="s">
        <v>221</v>
      </c>
      <c r="E43" s="11" t="s">
        <v>301</v>
      </c>
      <c r="F43" s="11" t="s">
        <v>302</v>
      </c>
      <c r="G43" s="11" t="s">
        <v>303</v>
      </c>
      <c r="H43" s="11" t="s">
        <v>304</v>
      </c>
      <c r="I43" s="11" t="s">
        <v>305</v>
      </c>
      <c r="J43" s="20" t="s">
        <v>8</v>
      </c>
      <c r="K43" s="20" t="s">
        <v>186</v>
      </c>
      <c r="L43" s="20" t="s">
        <v>58</v>
      </c>
      <c r="M43" s="20" t="s">
        <v>306</v>
      </c>
      <c r="N43" s="20" t="s">
        <v>307</v>
      </c>
      <c r="O43" s="20" t="s">
        <v>60</v>
      </c>
      <c r="P43" s="20" t="s">
        <v>207</v>
      </c>
    </row>
    <row r="44" ht="90" customHeight="1" spans="1:16">
      <c r="A44" s="20" t="s">
        <v>308</v>
      </c>
      <c r="B44" s="20" t="s">
        <v>9</v>
      </c>
      <c r="C44" s="20" t="s">
        <v>6</v>
      </c>
      <c r="D44" s="20" t="s">
        <v>221</v>
      </c>
      <c r="E44" s="11" t="s">
        <v>309</v>
      </c>
      <c r="F44" s="11" t="s">
        <v>310</v>
      </c>
      <c r="G44" s="11" t="s">
        <v>311</v>
      </c>
      <c r="H44" s="11" t="s">
        <v>312</v>
      </c>
      <c r="I44" s="11" t="s">
        <v>313</v>
      </c>
      <c r="J44" s="20" t="s">
        <v>8</v>
      </c>
      <c r="K44" s="20" t="s">
        <v>314</v>
      </c>
      <c r="L44" s="20" t="s">
        <v>58</v>
      </c>
      <c r="M44" s="20"/>
      <c r="N44" s="20"/>
      <c r="O44" s="20"/>
      <c r="P44" s="20"/>
    </row>
    <row r="45" ht="90" customHeight="1" spans="1:16">
      <c r="A45" s="20" t="s">
        <v>315</v>
      </c>
      <c r="B45" s="20" t="s">
        <v>9</v>
      </c>
      <c r="C45" s="20" t="s">
        <v>6</v>
      </c>
      <c r="D45" s="20" t="s">
        <v>221</v>
      </c>
      <c r="E45" s="11" t="s">
        <v>316</v>
      </c>
      <c r="F45" s="11" t="s">
        <v>317</v>
      </c>
      <c r="G45" s="11" t="s">
        <v>318</v>
      </c>
      <c r="H45" s="11" t="s">
        <v>225</v>
      </c>
      <c r="I45" s="11" t="s">
        <v>319</v>
      </c>
      <c r="J45" s="20" t="s">
        <v>8</v>
      </c>
      <c r="K45" s="20" t="s">
        <v>213</v>
      </c>
      <c r="L45" s="20" t="s">
        <v>58</v>
      </c>
      <c r="M45" s="20"/>
      <c r="N45" s="20"/>
      <c r="O45" s="20"/>
      <c r="P45" s="20"/>
    </row>
    <row r="46" ht="90" customHeight="1" spans="1:16">
      <c r="A46" s="20" t="s">
        <v>320</v>
      </c>
      <c r="B46" s="20" t="s">
        <v>9</v>
      </c>
      <c r="C46" s="20" t="s">
        <v>6</v>
      </c>
      <c r="D46" s="20" t="s">
        <v>221</v>
      </c>
      <c r="E46" s="11" t="s">
        <v>321</v>
      </c>
      <c r="F46" s="11" t="s">
        <v>322</v>
      </c>
      <c r="G46" s="11" t="s">
        <v>323</v>
      </c>
      <c r="H46" s="11" t="s">
        <v>225</v>
      </c>
      <c r="I46" s="11" t="s">
        <v>324</v>
      </c>
      <c r="J46" s="20" t="s">
        <v>8</v>
      </c>
      <c r="K46" s="20" t="s">
        <v>213</v>
      </c>
      <c r="L46" s="20" t="s">
        <v>58</v>
      </c>
      <c r="M46" s="20"/>
      <c r="N46" s="20"/>
      <c r="O46" s="20"/>
      <c r="P46" s="20"/>
    </row>
    <row r="47" ht="90" customHeight="1" spans="1:16">
      <c r="A47" s="20" t="s">
        <v>325</v>
      </c>
      <c r="B47" s="20" t="s">
        <v>9</v>
      </c>
      <c r="C47" s="20" t="s">
        <v>6</v>
      </c>
      <c r="D47" s="20" t="s">
        <v>221</v>
      </c>
      <c r="E47" s="11" t="s">
        <v>326</v>
      </c>
      <c r="F47" s="11" t="s">
        <v>230</v>
      </c>
      <c r="G47" s="11" t="s">
        <v>327</v>
      </c>
      <c r="H47" s="11" t="s">
        <v>328</v>
      </c>
      <c r="I47" s="11" t="s">
        <v>329</v>
      </c>
      <c r="J47" s="20" t="s">
        <v>8</v>
      </c>
      <c r="K47" s="20" t="s">
        <v>169</v>
      </c>
      <c r="L47" s="20" t="s">
        <v>58</v>
      </c>
      <c r="M47" s="20"/>
      <c r="N47" s="20"/>
      <c r="O47" s="20"/>
      <c r="P47" s="20"/>
    </row>
    <row r="48" ht="90" customHeight="1" spans="1:16">
      <c r="A48" s="20" t="s">
        <v>330</v>
      </c>
      <c r="B48" s="20" t="s">
        <v>9</v>
      </c>
      <c r="C48" s="20" t="s">
        <v>6</v>
      </c>
      <c r="D48" s="20" t="s">
        <v>221</v>
      </c>
      <c r="E48" s="11" t="s">
        <v>331</v>
      </c>
      <c r="F48" s="11" t="s">
        <v>332</v>
      </c>
      <c r="G48" s="11" t="s">
        <v>333</v>
      </c>
      <c r="H48" s="11" t="s">
        <v>334</v>
      </c>
      <c r="I48" s="11" t="s">
        <v>335</v>
      </c>
      <c r="J48" s="20" t="s">
        <v>8</v>
      </c>
      <c r="K48" s="20" t="s">
        <v>169</v>
      </c>
      <c r="L48" s="20" t="s">
        <v>58</v>
      </c>
      <c r="M48" s="20"/>
      <c r="N48" s="20"/>
      <c r="O48" s="20"/>
      <c r="P48" s="20"/>
    </row>
    <row r="49" ht="90" customHeight="1" spans="1:16">
      <c r="A49" s="20" t="s">
        <v>336</v>
      </c>
      <c r="B49" s="20" t="s">
        <v>9</v>
      </c>
      <c r="C49" s="20" t="s">
        <v>6</v>
      </c>
      <c r="D49" s="20" t="s">
        <v>221</v>
      </c>
      <c r="E49" s="11" t="s">
        <v>337</v>
      </c>
      <c r="F49" s="11" t="s">
        <v>244</v>
      </c>
      <c r="G49" s="11" t="s">
        <v>338</v>
      </c>
      <c r="H49" s="11" t="s">
        <v>211</v>
      </c>
      <c r="I49" s="11" t="s">
        <v>339</v>
      </c>
      <c r="J49" s="20" t="s">
        <v>8</v>
      </c>
      <c r="K49" s="20" t="s">
        <v>213</v>
      </c>
      <c r="L49" s="20" t="s">
        <v>58</v>
      </c>
      <c r="M49" s="20"/>
      <c r="N49" s="20"/>
      <c r="O49" s="20"/>
      <c r="P49" s="20"/>
    </row>
    <row r="50" ht="90" customHeight="1" spans="1:16">
      <c r="A50" s="20" t="s">
        <v>340</v>
      </c>
      <c r="B50" s="20" t="s">
        <v>9</v>
      </c>
      <c r="C50" s="20" t="s">
        <v>6</v>
      </c>
      <c r="D50" s="20" t="s">
        <v>221</v>
      </c>
      <c r="E50" s="11" t="s">
        <v>341</v>
      </c>
      <c r="F50" s="11" t="s">
        <v>342</v>
      </c>
      <c r="G50" s="11" t="s">
        <v>343</v>
      </c>
      <c r="H50" s="11" t="s">
        <v>211</v>
      </c>
      <c r="I50" s="11" t="s">
        <v>344</v>
      </c>
      <c r="J50" s="20" t="s">
        <v>8</v>
      </c>
      <c r="K50" s="20" t="s">
        <v>314</v>
      </c>
      <c r="L50" s="20" t="s">
        <v>58</v>
      </c>
      <c r="M50" s="20"/>
      <c r="N50" s="20"/>
      <c r="O50" s="20"/>
      <c r="P50" s="20"/>
    </row>
    <row r="51" ht="90" customHeight="1" spans="1:16">
      <c r="A51" s="20" t="s">
        <v>345</v>
      </c>
      <c r="B51" s="20" t="s">
        <v>9</v>
      </c>
      <c r="C51" s="20" t="s">
        <v>6</v>
      </c>
      <c r="D51" s="20" t="s">
        <v>221</v>
      </c>
      <c r="E51" s="11" t="s">
        <v>346</v>
      </c>
      <c r="F51" s="11" t="s">
        <v>347</v>
      </c>
      <c r="G51" s="11" t="s">
        <v>348</v>
      </c>
      <c r="H51" s="11" t="s">
        <v>211</v>
      </c>
      <c r="I51" s="11" t="s">
        <v>349</v>
      </c>
      <c r="J51" s="20" t="s">
        <v>8</v>
      </c>
      <c r="K51" s="20" t="s">
        <v>186</v>
      </c>
      <c r="L51" s="20" t="s">
        <v>58</v>
      </c>
      <c r="M51" s="20"/>
      <c r="N51" s="20"/>
      <c r="O51" s="20"/>
      <c r="P51" s="20"/>
    </row>
    <row r="52" ht="90" customHeight="1" spans="1:16">
      <c r="A52" s="20" t="s">
        <v>350</v>
      </c>
      <c r="B52" s="20" t="s">
        <v>11</v>
      </c>
      <c r="C52" s="20" t="s">
        <v>6</v>
      </c>
      <c r="D52" s="20" t="s">
        <v>351</v>
      </c>
      <c r="E52" s="11" t="s">
        <v>352</v>
      </c>
      <c r="F52" s="11" t="s">
        <v>353</v>
      </c>
      <c r="G52" s="11" t="s">
        <v>354</v>
      </c>
      <c r="H52" s="11" t="s">
        <v>211</v>
      </c>
      <c r="I52" s="11" t="s">
        <v>355</v>
      </c>
      <c r="J52" s="20" t="s">
        <v>8</v>
      </c>
      <c r="K52" s="20" t="s">
        <v>57</v>
      </c>
      <c r="L52" s="20" t="s">
        <v>58</v>
      </c>
      <c r="M52" s="20" t="s">
        <v>356</v>
      </c>
      <c r="N52" s="20"/>
      <c r="O52" s="20" t="s">
        <v>206</v>
      </c>
      <c r="P52" s="20" t="s">
        <v>207</v>
      </c>
    </row>
    <row r="53" ht="90" customHeight="1" spans="1:16">
      <c r="A53" s="20" t="s">
        <v>357</v>
      </c>
      <c r="B53" s="20" t="s">
        <v>11</v>
      </c>
      <c r="C53" s="20" t="s">
        <v>6</v>
      </c>
      <c r="D53" s="20" t="s">
        <v>351</v>
      </c>
      <c r="E53" s="11" t="s">
        <v>358</v>
      </c>
      <c r="F53" s="11" t="s">
        <v>359</v>
      </c>
      <c r="G53" s="11" t="s">
        <v>360</v>
      </c>
      <c r="H53" s="11" t="s">
        <v>211</v>
      </c>
      <c r="I53" s="11" t="s">
        <v>361</v>
      </c>
      <c r="J53" s="20" t="s">
        <v>8</v>
      </c>
      <c r="K53" s="20" t="s">
        <v>219</v>
      </c>
      <c r="L53" s="20" t="s">
        <v>58</v>
      </c>
      <c r="M53" s="20"/>
      <c r="N53" s="20"/>
      <c r="O53" s="20"/>
      <c r="P53" s="20"/>
    </row>
    <row r="54" ht="90" customHeight="1" spans="1:16">
      <c r="A54" s="20" t="s">
        <v>362</v>
      </c>
      <c r="B54" s="20" t="s">
        <v>11</v>
      </c>
      <c r="C54" s="20" t="s">
        <v>6</v>
      </c>
      <c r="D54" s="20" t="s">
        <v>351</v>
      </c>
      <c r="E54" s="11" t="s">
        <v>363</v>
      </c>
      <c r="F54" s="11" t="s">
        <v>364</v>
      </c>
      <c r="G54" s="11" t="s">
        <v>365</v>
      </c>
      <c r="H54" s="11" t="s">
        <v>211</v>
      </c>
      <c r="I54" s="11" t="s">
        <v>366</v>
      </c>
      <c r="J54" s="20" t="s">
        <v>8</v>
      </c>
      <c r="K54" s="20" t="s">
        <v>213</v>
      </c>
      <c r="L54" s="20" t="s">
        <v>58</v>
      </c>
      <c r="M54" s="20"/>
      <c r="N54" s="20"/>
      <c r="O54" s="20"/>
      <c r="P54" s="20"/>
    </row>
    <row r="55" ht="90" customHeight="1" spans="1:16">
      <c r="A55" s="20" t="s">
        <v>367</v>
      </c>
      <c r="B55" s="20" t="s">
        <v>11</v>
      </c>
      <c r="C55" s="20" t="s">
        <v>6</v>
      </c>
      <c r="D55" s="20" t="s">
        <v>351</v>
      </c>
      <c r="E55" s="11" t="s">
        <v>368</v>
      </c>
      <c r="F55" s="11" t="s">
        <v>364</v>
      </c>
      <c r="G55" s="11" t="s">
        <v>369</v>
      </c>
      <c r="H55" s="11" t="s">
        <v>211</v>
      </c>
      <c r="I55" s="11" t="s">
        <v>370</v>
      </c>
      <c r="J55" s="20" t="s">
        <v>8</v>
      </c>
      <c r="K55" s="20" t="s">
        <v>158</v>
      </c>
      <c r="L55" s="20" t="s">
        <v>58</v>
      </c>
      <c r="M55" s="20"/>
      <c r="N55" s="20"/>
      <c r="O55" s="20"/>
      <c r="P55" s="20"/>
    </row>
    <row r="56" ht="90" customHeight="1" spans="1:16">
      <c r="A56" s="20" t="s">
        <v>371</v>
      </c>
      <c r="B56" s="20" t="s">
        <v>11</v>
      </c>
      <c r="C56" s="20" t="s">
        <v>6</v>
      </c>
      <c r="D56" s="20" t="s">
        <v>351</v>
      </c>
      <c r="E56" s="11" t="s">
        <v>372</v>
      </c>
      <c r="F56" s="11" t="s">
        <v>373</v>
      </c>
      <c r="G56" s="11" t="s">
        <v>374</v>
      </c>
      <c r="H56" s="11" t="s">
        <v>211</v>
      </c>
      <c r="I56" s="11" t="s">
        <v>375</v>
      </c>
      <c r="J56" s="20" t="s">
        <v>8</v>
      </c>
      <c r="K56" s="20" t="s">
        <v>158</v>
      </c>
      <c r="L56" s="20" t="s">
        <v>58</v>
      </c>
      <c r="M56" s="20"/>
      <c r="N56" s="20"/>
      <c r="O56" s="20"/>
      <c r="P56" s="20"/>
    </row>
    <row r="57" ht="90" customHeight="1" spans="1:16">
      <c r="A57" s="20" t="s">
        <v>376</v>
      </c>
      <c r="B57" s="20" t="s">
        <v>11</v>
      </c>
      <c r="C57" s="20" t="s">
        <v>6</v>
      </c>
      <c r="D57" s="20" t="s">
        <v>351</v>
      </c>
      <c r="E57" s="11" t="s">
        <v>377</v>
      </c>
      <c r="F57" s="11" t="s">
        <v>378</v>
      </c>
      <c r="G57" s="11" t="s">
        <v>379</v>
      </c>
      <c r="H57" s="11" t="s">
        <v>380</v>
      </c>
      <c r="I57" s="11" t="s">
        <v>381</v>
      </c>
      <c r="J57" s="20" t="s">
        <v>8</v>
      </c>
      <c r="K57" s="20" t="s">
        <v>186</v>
      </c>
      <c r="L57" s="20" t="s">
        <v>58</v>
      </c>
      <c r="M57" s="20"/>
      <c r="N57" s="20"/>
      <c r="O57" s="20"/>
      <c r="P57" s="20"/>
    </row>
    <row r="58" ht="90" customHeight="1" spans="1:16">
      <c r="A58" s="20" t="s">
        <v>382</v>
      </c>
      <c r="B58" s="20" t="s">
        <v>11</v>
      </c>
      <c r="C58" s="20" t="s">
        <v>6</v>
      </c>
      <c r="D58" s="20" t="s">
        <v>351</v>
      </c>
      <c r="E58" s="11" t="s">
        <v>383</v>
      </c>
      <c r="F58" s="11" t="s">
        <v>384</v>
      </c>
      <c r="G58" s="11" t="s">
        <v>385</v>
      </c>
      <c r="H58" s="11" t="s">
        <v>211</v>
      </c>
      <c r="I58" s="11" t="s">
        <v>386</v>
      </c>
      <c r="J58" s="20" t="s">
        <v>8</v>
      </c>
      <c r="K58" s="20" t="s">
        <v>314</v>
      </c>
      <c r="L58" s="20" t="s">
        <v>58</v>
      </c>
      <c r="M58" s="20"/>
      <c r="N58" s="20"/>
      <c r="O58" s="20"/>
      <c r="P58" s="20"/>
    </row>
    <row r="59" ht="90" customHeight="1" spans="1:16">
      <c r="A59" s="20" t="s">
        <v>387</v>
      </c>
      <c r="B59" s="20" t="s">
        <v>11</v>
      </c>
      <c r="C59" s="20" t="s">
        <v>6</v>
      </c>
      <c r="D59" s="20" t="s">
        <v>351</v>
      </c>
      <c r="E59" s="11" t="s">
        <v>388</v>
      </c>
      <c r="F59" s="11" t="s">
        <v>364</v>
      </c>
      <c r="G59" s="11" t="s">
        <v>389</v>
      </c>
      <c r="H59" s="11" t="s">
        <v>211</v>
      </c>
      <c r="I59" s="11" t="s">
        <v>390</v>
      </c>
      <c r="J59" s="20" t="s">
        <v>8</v>
      </c>
      <c r="K59" s="20" t="s">
        <v>219</v>
      </c>
      <c r="L59" s="20" t="s">
        <v>391</v>
      </c>
      <c r="M59" s="20" t="s">
        <v>392</v>
      </c>
      <c r="N59" s="20"/>
      <c r="O59" s="20" t="s">
        <v>60</v>
      </c>
      <c r="P59" s="20" t="s">
        <v>393</v>
      </c>
    </row>
    <row r="60" ht="90" customHeight="1" spans="1:16">
      <c r="A60" s="20" t="s">
        <v>394</v>
      </c>
      <c r="B60" s="20" t="s">
        <v>11</v>
      </c>
      <c r="C60" s="20" t="s">
        <v>6</v>
      </c>
      <c r="D60" s="20" t="s">
        <v>351</v>
      </c>
      <c r="E60" s="11" t="s">
        <v>395</v>
      </c>
      <c r="F60" s="11" t="s">
        <v>396</v>
      </c>
      <c r="G60" s="11" t="s">
        <v>397</v>
      </c>
      <c r="H60" s="11" t="s">
        <v>398</v>
      </c>
      <c r="I60" s="11" t="s">
        <v>399</v>
      </c>
      <c r="J60" s="20" t="s">
        <v>8</v>
      </c>
      <c r="K60" s="20" t="s">
        <v>400</v>
      </c>
      <c r="L60" s="20" t="s">
        <v>58</v>
      </c>
      <c r="M60" s="20"/>
      <c r="N60" s="20"/>
      <c r="O60" s="20"/>
      <c r="P60" s="20"/>
    </row>
    <row r="61" ht="90" customHeight="1" spans="1:16">
      <c r="A61" s="20" t="s">
        <v>401</v>
      </c>
      <c r="B61" s="20" t="s">
        <v>11</v>
      </c>
      <c r="C61" s="20" t="s">
        <v>6</v>
      </c>
      <c r="D61" s="20" t="s">
        <v>351</v>
      </c>
      <c r="E61" s="11" t="s">
        <v>402</v>
      </c>
      <c r="F61" s="11" t="s">
        <v>403</v>
      </c>
      <c r="G61" s="11" t="s">
        <v>404</v>
      </c>
      <c r="H61" s="11" t="s">
        <v>405</v>
      </c>
      <c r="I61" s="11" t="s">
        <v>406</v>
      </c>
      <c r="J61" s="20" t="s">
        <v>8</v>
      </c>
      <c r="K61" s="20" t="s">
        <v>314</v>
      </c>
      <c r="L61" s="20" t="s">
        <v>58</v>
      </c>
      <c r="M61" s="20"/>
      <c r="N61" s="20"/>
      <c r="O61" s="20"/>
      <c r="P61" s="20"/>
    </row>
    <row r="62" ht="90" customHeight="1" spans="1:16">
      <c r="A62" s="20" t="s">
        <v>407</v>
      </c>
      <c r="B62" s="20" t="s">
        <v>11</v>
      </c>
      <c r="C62" s="20" t="s">
        <v>6</v>
      </c>
      <c r="D62" s="20" t="s">
        <v>351</v>
      </c>
      <c r="E62" s="11" t="s">
        <v>408</v>
      </c>
      <c r="F62" s="11" t="s">
        <v>409</v>
      </c>
      <c r="G62" s="11" t="s">
        <v>410</v>
      </c>
      <c r="H62" s="11" t="s">
        <v>225</v>
      </c>
      <c r="I62" s="11" t="s">
        <v>411</v>
      </c>
      <c r="J62" s="20" t="s">
        <v>8</v>
      </c>
      <c r="K62" s="20" t="s">
        <v>412</v>
      </c>
      <c r="L62" s="20" t="s">
        <v>58</v>
      </c>
      <c r="M62" s="20"/>
      <c r="N62" s="20"/>
      <c r="O62" s="20"/>
      <c r="P62" s="20"/>
    </row>
    <row r="63" ht="90" customHeight="1" spans="1:16">
      <c r="A63" s="20" t="s">
        <v>413</v>
      </c>
      <c r="B63" s="20" t="s">
        <v>13</v>
      </c>
      <c r="C63" s="20" t="s">
        <v>6</v>
      </c>
      <c r="D63" s="20" t="s">
        <v>14</v>
      </c>
      <c r="E63" s="11" t="s">
        <v>414</v>
      </c>
      <c r="F63" s="11" t="s">
        <v>415</v>
      </c>
      <c r="G63" s="11" t="s">
        <v>416</v>
      </c>
      <c r="H63" s="11" t="s">
        <v>417</v>
      </c>
      <c r="I63" s="11" t="s">
        <v>418</v>
      </c>
      <c r="J63" s="20" t="s">
        <v>15</v>
      </c>
      <c r="K63" s="20" t="s">
        <v>57</v>
      </c>
      <c r="L63" s="20" t="s">
        <v>118</v>
      </c>
      <c r="M63" s="20"/>
      <c r="N63" s="20"/>
      <c r="O63" s="20"/>
      <c r="P63" s="20"/>
    </row>
    <row r="64" ht="90" customHeight="1" spans="1:16">
      <c r="A64" s="20" t="s">
        <v>419</v>
      </c>
      <c r="B64" s="20" t="s">
        <v>13</v>
      </c>
      <c r="C64" s="20" t="s">
        <v>6</v>
      </c>
      <c r="D64" s="20" t="s">
        <v>14</v>
      </c>
      <c r="E64" s="11" t="s">
        <v>420</v>
      </c>
      <c r="F64" s="11" t="s">
        <v>421</v>
      </c>
      <c r="G64" s="11" t="s">
        <v>422</v>
      </c>
      <c r="H64" s="11" t="s">
        <v>423</v>
      </c>
      <c r="I64" s="11" t="s">
        <v>424</v>
      </c>
      <c r="J64" s="20" t="s">
        <v>15</v>
      </c>
      <c r="K64" s="20" t="s">
        <v>425</v>
      </c>
      <c r="L64" s="20" t="s">
        <v>118</v>
      </c>
      <c r="M64" s="20"/>
      <c r="N64" s="20"/>
      <c r="O64" s="20"/>
      <c r="P64" s="20"/>
    </row>
    <row r="65" ht="90" customHeight="1" spans="1:16">
      <c r="A65" s="20" t="s">
        <v>426</v>
      </c>
      <c r="B65" s="20" t="s">
        <v>13</v>
      </c>
      <c r="C65" s="20" t="s">
        <v>6</v>
      </c>
      <c r="D65" s="20" t="s">
        <v>14</v>
      </c>
      <c r="E65" s="11" t="s">
        <v>427</v>
      </c>
      <c r="F65" s="11" t="s">
        <v>428</v>
      </c>
      <c r="G65" s="11" t="s">
        <v>429</v>
      </c>
      <c r="H65" s="11" t="s">
        <v>79</v>
      </c>
      <c r="I65" s="11" t="s">
        <v>430</v>
      </c>
      <c r="J65" s="20" t="s">
        <v>15</v>
      </c>
      <c r="K65" s="20" t="s">
        <v>68</v>
      </c>
      <c r="L65" s="20" t="s">
        <v>118</v>
      </c>
      <c r="M65" s="20"/>
      <c r="N65" s="20"/>
      <c r="O65" s="20"/>
      <c r="P65" s="20"/>
    </row>
    <row r="66" ht="90" customHeight="1" spans="1:16">
      <c r="A66" s="20" t="s">
        <v>431</v>
      </c>
      <c r="B66" s="20" t="s">
        <v>13</v>
      </c>
      <c r="C66" s="20" t="s">
        <v>6</v>
      </c>
      <c r="D66" s="20" t="s">
        <v>14</v>
      </c>
      <c r="E66" s="11" t="s">
        <v>432</v>
      </c>
      <c r="F66" s="11" t="s">
        <v>428</v>
      </c>
      <c r="G66" s="11" t="s">
        <v>433</v>
      </c>
      <c r="H66" s="11" t="s">
        <v>434</v>
      </c>
      <c r="I66" s="11" t="s">
        <v>435</v>
      </c>
      <c r="J66" s="20" t="s">
        <v>15</v>
      </c>
      <c r="K66" s="20" t="s">
        <v>96</v>
      </c>
      <c r="L66" s="20" t="s">
        <v>118</v>
      </c>
      <c r="M66" s="20"/>
      <c r="N66" s="20"/>
      <c r="O66" s="20"/>
      <c r="P66" s="20"/>
    </row>
    <row r="67" ht="90" customHeight="1" spans="1:16">
      <c r="A67" s="20" t="s">
        <v>436</v>
      </c>
      <c r="B67" s="20" t="s">
        <v>13</v>
      </c>
      <c r="C67" s="20" t="s">
        <v>6</v>
      </c>
      <c r="D67" s="20" t="s">
        <v>14</v>
      </c>
      <c r="E67" s="11" t="s">
        <v>437</v>
      </c>
      <c r="F67" s="11" t="s">
        <v>438</v>
      </c>
      <c r="G67" s="11" t="s">
        <v>439</v>
      </c>
      <c r="H67" s="11" t="s">
        <v>417</v>
      </c>
      <c r="I67" s="11" t="s">
        <v>440</v>
      </c>
      <c r="J67" s="20" t="s">
        <v>15</v>
      </c>
      <c r="K67" s="20" t="s">
        <v>279</v>
      </c>
      <c r="L67" s="20" t="s">
        <v>118</v>
      </c>
      <c r="M67" s="20"/>
      <c r="N67" s="20"/>
      <c r="O67" s="20"/>
      <c r="P67" s="20"/>
    </row>
    <row r="68" ht="90" customHeight="1" spans="1:16">
      <c r="A68" s="20" t="s">
        <v>441</v>
      </c>
      <c r="B68" s="20" t="s">
        <v>13</v>
      </c>
      <c r="C68" s="20" t="s">
        <v>6</v>
      </c>
      <c r="D68" s="20" t="s">
        <v>14</v>
      </c>
      <c r="E68" s="11" t="s">
        <v>442</v>
      </c>
      <c r="F68" s="11" t="s">
        <v>443</v>
      </c>
      <c r="G68" s="11" t="s">
        <v>444</v>
      </c>
      <c r="H68" s="11" t="s">
        <v>211</v>
      </c>
      <c r="I68" s="11" t="s">
        <v>445</v>
      </c>
      <c r="J68" s="20" t="s">
        <v>15</v>
      </c>
      <c r="K68" s="20" t="s">
        <v>219</v>
      </c>
      <c r="L68" s="20" t="s">
        <v>118</v>
      </c>
      <c r="M68" s="20"/>
      <c r="N68" s="20"/>
      <c r="O68" s="20"/>
      <c r="P68" s="20"/>
    </row>
    <row r="69" ht="90" customHeight="1" spans="1:16">
      <c r="A69" s="20" t="s">
        <v>446</v>
      </c>
      <c r="B69" s="20" t="s">
        <v>13</v>
      </c>
      <c r="C69" s="20" t="s">
        <v>6</v>
      </c>
      <c r="D69" s="20" t="s">
        <v>14</v>
      </c>
      <c r="E69" s="11" t="s">
        <v>447</v>
      </c>
      <c r="F69" s="11" t="s">
        <v>448</v>
      </c>
      <c r="G69" s="11" t="s">
        <v>449</v>
      </c>
      <c r="H69" s="11" t="s">
        <v>211</v>
      </c>
      <c r="I69" s="11" t="s">
        <v>450</v>
      </c>
      <c r="J69" s="20" t="s">
        <v>15</v>
      </c>
      <c r="K69" s="20" t="s">
        <v>213</v>
      </c>
      <c r="L69" s="20" t="s">
        <v>118</v>
      </c>
      <c r="M69" s="20"/>
      <c r="N69" s="20"/>
      <c r="O69" s="20"/>
      <c r="P69" s="20"/>
    </row>
    <row r="70" ht="90" customHeight="1" spans="1:16">
      <c r="A70" s="20" t="s">
        <v>451</v>
      </c>
      <c r="B70" s="20" t="s">
        <v>13</v>
      </c>
      <c r="C70" s="20" t="s">
        <v>6</v>
      </c>
      <c r="D70" s="20" t="s">
        <v>14</v>
      </c>
      <c r="E70" s="11" t="s">
        <v>452</v>
      </c>
      <c r="F70" s="11" t="s">
        <v>453</v>
      </c>
      <c r="G70" s="11" t="s">
        <v>454</v>
      </c>
      <c r="H70" s="11" t="s">
        <v>455</v>
      </c>
      <c r="I70" s="11" t="s">
        <v>456</v>
      </c>
      <c r="J70" s="20" t="s">
        <v>15</v>
      </c>
      <c r="K70" s="20" t="s">
        <v>57</v>
      </c>
      <c r="L70" s="20" t="s">
        <v>118</v>
      </c>
      <c r="M70" s="20"/>
      <c r="N70" s="20"/>
      <c r="O70" s="20"/>
      <c r="P70" s="20"/>
    </row>
    <row r="71" ht="90" customHeight="1" spans="1:16">
      <c r="A71" s="20" t="s">
        <v>457</v>
      </c>
      <c r="B71" s="20" t="s">
        <v>13</v>
      </c>
      <c r="C71" s="20" t="s">
        <v>6</v>
      </c>
      <c r="D71" s="20" t="s">
        <v>14</v>
      </c>
      <c r="E71" s="11" t="s">
        <v>458</v>
      </c>
      <c r="F71" s="11" t="s">
        <v>459</v>
      </c>
      <c r="G71" s="11" t="s">
        <v>460</v>
      </c>
      <c r="H71" s="11" t="s">
        <v>461</v>
      </c>
      <c r="I71" s="11" t="s">
        <v>462</v>
      </c>
      <c r="J71" s="20" t="s">
        <v>15</v>
      </c>
      <c r="K71" s="20" t="s">
        <v>186</v>
      </c>
      <c r="L71" s="20" t="s">
        <v>118</v>
      </c>
      <c r="M71" s="20"/>
      <c r="N71" s="20"/>
      <c r="O71" s="20"/>
      <c r="P71" s="20"/>
    </row>
    <row r="72" ht="90" customHeight="1" spans="1:16">
      <c r="A72" s="20" t="s">
        <v>463</v>
      </c>
      <c r="B72" s="20" t="s">
        <v>13</v>
      </c>
      <c r="C72" s="20" t="s">
        <v>6</v>
      </c>
      <c r="D72" s="20" t="s">
        <v>14</v>
      </c>
      <c r="E72" s="11" t="s">
        <v>464</v>
      </c>
      <c r="F72" s="11" t="s">
        <v>465</v>
      </c>
      <c r="G72" s="11" t="s">
        <v>466</v>
      </c>
      <c r="H72" s="11" t="s">
        <v>467</v>
      </c>
      <c r="I72" s="11" t="s">
        <v>468</v>
      </c>
      <c r="J72" s="20" t="s">
        <v>15</v>
      </c>
      <c r="K72" s="20" t="s">
        <v>152</v>
      </c>
      <c r="L72" s="20" t="s">
        <v>118</v>
      </c>
      <c r="M72" s="20"/>
      <c r="N72" s="20"/>
      <c r="O72" s="20"/>
      <c r="P72" s="20"/>
    </row>
    <row r="73" ht="90" customHeight="1" spans="1:16">
      <c r="A73" s="20" t="s">
        <v>469</v>
      </c>
      <c r="B73" s="20" t="s">
        <v>13</v>
      </c>
      <c r="C73" s="20" t="s">
        <v>6</v>
      </c>
      <c r="D73" s="20" t="s">
        <v>14</v>
      </c>
      <c r="E73" s="11" t="s">
        <v>470</v>
      </c>
      <c r="F73" s="11" t="s">
        <v>471</v>
      </c>
      <c r="G73" s="11" t="s">
        <v>472</v>
      </c>
      <c r="H73" s="11" t="s">
        <v>473</v>
      </c>
      <c r="I73" s="11" t="s">
        <v>474</v>
      </c>
      <c r="J73" s="20" t="s">
        <v>15</v>
      </c>
      <c r="K73" s="20" t="s">
        <v>117</v>
      </c>
      <c r="L73" s="20" t="s">
        <v>118</v>
      </c>
      <c r="M73" s="20"/>
      <c r="N73" s="20"/>
      <c r="O73" s="20"/>
      <c r="P73" s="20"/>
    </row>
    <row r="74" ht="90" customHeight="1" spans="1:16">
      <c r="A74" s="20" t="s">
        <v>475</v>
      </c>
      <c r="B74" s="20" t="s">
        <v>13</v>
      </c>
      <c r="C74" s="20" t="s">
        <v>6</v>
      </c>
      <c r="D74" s="20" t="s">
        <v>14</v>
      </c>
      <c r="E74" s="11" t="s">
        <v>476</v>
      </c>
      <c r="F74" s="11" t="s">
        <v>465</v>
      </c>
      <c r="G74" s="11" t="s">
        <v>477</v>
      </c>
      <c r="H74" s="11" t="s">
        <v>478</v>
      </c>
      <c r="I74" s="11" t="s">
        <v>479</v>
      </c>
      <c r="J74" s="20" t="s">
        <v>15</v>
      </c>
      <c r="K74" s="20" t="s">
        <v>135</v>
      </c>
      <c r="L74" s="20" t="s">
        <v>118</v>
      </c>
      <c r="M74" s="20"/>
      <c r="N74" s="20"/>
      <c r="O74" s="20"/>
      <c r="P74" s="20"/>
    </row>
    <row r="75" ht="90" customHeight="1" spans="1:16">
      <c r="A75" s="20" t="s">
        <v>480</v>
      </c>
      <c r="B75" s="20" t="s">
        <v>13</v>
      </c>
      <c r="C75" s="20" t="s">
        <v>6</v>
      </c>
      <c r="D75" s="20" t="s">
        <v>14</v>
      </c>
      <c r="E75" s="11" t="s">
        <v>481</v>
      </c>
      <c r="F75" s="11" t="s">
        <v>482</v>
      </c>
      <c r="G75" s="11" t="s">
        <v>483</v>
      </c>
      <c r="H75" s="11" t="s">
        <v>484</v>
      </c>
      <c r="I75" s="11" t="s">
        <v>485</v>
      </c>
      <c r="J75" s="20" t="s">
        <v>15</v>
      </c>
      <c r="K75" s="20" t="s">
        <v>158</v>
      </c>
      <c r="L75" s="20" t="s">
        <v>118</v>
      </c>
      <c r="M75" s="20"/>
      <c r="N75" s="20"/>
      <c r="O75" s="20"/>
      <c r="P75" s="20"/>
    </row>
    <row r="76" ht="90" customHeight="1" spans="1:16">
      <c r="A76" s="20" t="s">
        <v>486</v>
      </c>
      <c r="B76" s="20" t="s">
        <v>13</v>
      </c>
      <c r="C76" s="20" t="s">
        <v>6</v>
      </c>
      <c r="D76" s="20" t="s">
        <v>14</v>
      </c>
      <c r="E76" s="11" t="s">
        <v>487</v>
      </c>
      <c r="F76" s="11" t="s">
        <v>488</v>
      </c>
      <c r="G76" s="11" t="s">
        <v>489</v>
      </c>
      <c r="H76" s="11" t="s">
        <v>490</v>
      </c>
      <c r="I76" s="11" t="s">
        <v>491</v>
      </c>
      <c r="J76" s="20" t="s">
        <v>15</v>
      </c>
      <c r="K76" s="20" t="s">
        <v>158</v>
      </c>
      <c r="L76" s="20" t="s">
        <v>118</v>
      </c>
      <c r="M76" s="20"/>
      <c r="N76" s="20"/>
      <c r="O76" s="20"/>
      <c r="P76" s="20"/>
    </row>
    <row r="77" ht="90" customHeight="1" spans="1:16">
      <c r="A77" s="20" t="s">
        <v>492</v>
      </c>
      <c r="B77" s="20" t="s">
        <v>13</v>
      </c>
      <c r="C77" s="20" t="s">
        <v>6</v>
      </c>
      <c r="D77" s="20" t="s">
        <v>14</v>
      </c>
      <c r="E77" s="11" t="s">
        <v>493</v>
      </c>
      <c r="F77" s="11" t="s">
        <v>494</v>
      </c>
      <c r="G77" s="11" t="s">
        <v>495</v>
      </c>
      <c r="H77" s="11" t="s">
        <v>496</v>
      </c>
      <c r="I77" s="11" t="s">
        <v>497</v>
      </c>
      <c r="J77" s="20" t="s">
        <v>15</v>
      </c>
      <c r="K77" s="20" t="s">
        <v>158</v>
      </c>
      <c r="L77" s="20" t="s">
        <v>58</v>
      </c>
      <c r="M77" s="20" t="s">
        <v>498</v>
      </c>
      <c r="N77" s="20"/>
      <c r="O77" s="20" t="s">
        <v>60</v>
      </c>
      <c r="P77" s="20" t="s">
        <v>393</v>
      </c>
    </row>
    <row r="78" ht="90" customHeight="1" spans="1:16">
      <c r="A78" s="20" t="s">
        <v>499</v>
      </c>
      <c r="B78" s="20" t="s">
        <v>13</v>
      </c>
      <c r="C78" s="20" t="s">
        <v>6</v>
      </c>
      <c r="D78" s="20" t="s">
        <v>14</v>
      </c>
      <c r="E78" s="11" t="s">
        <v>500</v>
      </c>
      <c r="F78" s="11" t="s">
        <v>501</v>
      </c>
      <c r="G78" s="11" t="s">
        <v>502</v>
      </c>
      <c r="H78" s="11" t="s">
        <v>503</v>
      </c>
      <c r="I78" s="11" t="s">
        <v>504</v>
      </c>
      <c r="J78" s="20" t="s">
        <v>15</v>
      </c>
      <c r="K78" s="20" t="s">
        <v>186</v>
      </c>
      <c r="L78" s="20" t="s">
        <v>118</v>
      </c>
      <c r="M78" s="20"/>
      <c r="N78" s="20"/>
      <c r="O78" s="20"/>
      <c r="P78" s="20"/>
    </row>
    <row r="79" ht="90" customHeight="1" spans="1:16">
      <c r="A79" s="20" t="s">
        <v>505</v>
      </c>
      <c r="B79" s="20" t="s">
        <v>13</v>
      </c>
      <c r="C79" s="20" t="s">
        <v>6</v>
      </c>
      <c r="D79" s="20" t="s">
        <v>14</v>
      </c>
      <c r="E79" s="11" t="s">
        <v>506</v>
      </c>
      <c r="F79" s="11" t="s">
        <v>507</v>
      </c>
      <c r="G79" s="11" t="s">
        <v>508</v>
      </c>
      <c r="H79" s="11" t="s">
        <v>509</v>
      </c>
      <c r="I79" s="11" t="s">
        <v>510</v>
      </c>
      <c r="J79" s="20" t="s">
        <v>15</v>
      </c>
      <c r="K79" s="20" t="s">
        <v>412</v>
      </c>
      <c r="L79" s="20" t="s">
        <v>118</v>
      </c>
      <c r="M79" s="20"/>
      <c r="N79" s="20"/>
      <c r="O79" s="20"/>
      <c r="P79" s="20"/>
    </row>
    <row r="80" ht="90" customHeight="1" spans="1:16">
      <c r="A80" s="20" t="s">
        <v>511</v>
      </c>
      <c r="B80" s="20" t="s">
        <v>13</v>
      </c>
      <c r="C80" s="20" t="s">
        <v>6</v>
      </c>
      <c r="D80" s="20" t="s">
        <v>14</v>
      </c>
      <c r="E80" s="11" t="s">
        <v>512</v>
      </c>
      <c r="F80" s="11" t="s">
        <v>507</v>
      </c>
      <c r="G80" s="11" t="s">
        <v>513</v>
      </c>
      <c r="H80" s="11" t="s">
        <v>514</v>
      </c>
      <c r="I80" s="11" t="s">
        <v>515</v>
      </c>
      <c r="J80" s="20" t="s">
        <v>15</v>
      </c>
      <c r="K80" s="20" t="s">
        <v>158</v>
      </c>
      <c r="L80" s="20" t="s">
        <v>118</v>
      </c>
      <c r="M80" s="20"/>
      <c r="N80" s="20"/>
      <c r="O80" s="20"/>
      <c r="P80" s="20"/>
    </row>
    <row r="81" ht="90" customHeight="1" spans="1:16">
      <c r="A81" s="20" t="s">
        <v>516</v>
      </c>
      <c r="B81" s="20" t="s">
        <v>13</v>
      </c>
      <c r="C81" s="20" t="s">
        <v>6</v>
      </c>
      <c r="D81" s="20" t="s">
        <v>14</v>
      </c>
      <c r="E81" s="11" t="s">
        <v>517</v>
      </c>
      <c r="F81" s="11" t="s">
        <v>415</v>
      </c>
      <c r="G81" s="11" t="s">
        <v>518</v>
      </c>
      <c r="H81" s="11" t="s">
        <v>519</v>
      </c>
      <c r="I81" s="11" t="s">
        <v>520</v>
      </c>
      <c r="J81" s="20" t="s">
        <v>15</v>
      </c>
      <c r="K81" s="20" t="s">
        <v>158</v>
      </c>
      <c r="L81" s="20" t="s">
        <v>118</v>
      </c>
      <c r="M81" s="20"/>
      <c r="N81" s="20"/>
      <c r="O81" s="20"/>
      <c r="P81" s="20"/>
    </row>
    <row r="82" ht="90" customHeight="1" spans="1:16">
      <c r="A82" s="20" t="s">
        <v>521</v>
      </c>
      <c r="B82" s="20" t="s">
        <v>13</v>
      </c>
      <c r="C82" s="20" t="s">
        <v>6</v>
      </c>
      <c r="D82" s="20" t="s">
        <v>14</v>
      </c>
      <c r="E82" s="11" t="s">
        <v>522</v>
      </c>
      <c r="F82" s="11" t="s">
        <v>244</v>
      </c>
      <c r="G82" s="11" t="s">
        <v>523</v>
      </c>
      <c r="H82" s="11" t="s">
        <v>211</v>
      </c>
      <c r="I82" s="11" t="s">
        <v>524</v>
      </c>
      <c r="J82" s="20" t="s">
        <v>15</v>
      </c>
      <c r="K82" s="20" t="s">
        <v>213</v>
      </c>
      <c r="L82" s="20" t="s">
        <v>118</v>
      </c>
      <c r="M82" s="20"/>
      <c r="N82" s="20"/>
      <c r="O82" s="20"/>
      <c r="P82" s="20"/>
    </row>
    <row r="83" ht="90" customHeight="1" spans="1:16">
      <c r="A83" s="20" t="s">
        <v>525</v>
      </c>
      <c r="B83" s="20" t="s">
        <v>13</v>
      </c>
      <c r="C83" s="20" t="s">
        <v>6</v>
      </c>
      <c r="D83" s="20" t="s">
        <v>14</v>
      </c>
      <c r="E83" s="11" t="s">
        <v>526</v>
      </c>
      <c r="F83" s="11" t="s">
        <v>428</v>
      </c>
      <c r="G83" s="11" t="s">
        <v>527</v>
      </c>
      <c r="H83" s="11" t="s">
        <v>211</v>
      </c>
      <c r="I83" s="11" t="s">
        <v>528</v>
      </c>
      <c r="J83" s="20" t="s">
        <v>15</v>
      </c>
      <c r="K83" s="20" t="s">
        <v>213</v>
      </c>
      <c r="L83" s="20" t="s">
        <v>118</v>
      </c>
      <c r="M83" s="20"/>
      <c r="N83" s="20"/>
      <c r="O83" s="20"/>
      <c r="P83" s="20"/>
    </row>
    <row r="84" ht="90" customHeight="1" spans="1:16">
      <c r="A84" s="20" t="s">
        <v>529</v>
      </c>
      <c r="B84" s="20" t="s">
        <v>13</v>
      </c>
      <c r="C84" s="20" t="s">
        <v>6</v>
      </c>
      <c r="D84" s="20" t="s">
        <v>14</v>
      </c>
      <c r="E84" s="11" t="s">
        <v>530</v>
      </c>
      <c r="F84" s="11" t="s">
        <v>531</v>
      </c>
      <c r="G84" s="11" t="s">
        <v>532</v>
      </c>
      <c r="H84" s="11" t="s">
        <v>533</v>
      </c>
      <c r="I84" s="11" t="s">
        <v>288</v>
      </c>
      <c r="J84" s="20" t="s">
        <v>15</v>
      </c>
      <c r="K84" s="20" t="s">
        <v>219</v>
      </c>
      <c r="L84" s="20" t="s">
        <v>118</v>
      </c>
      <c r="M84" s="20"/>
      <c r="N84" s="20"/>
      <c r="O84" s="20"/>
      <c r="P84" s="20"/>
    </row>
    <row r="85" ht="90" customHeight="1" spans="1:16">
      <c r="A85" s="20" t="s">
        <v>534</v>
      </c>
      <c r="B85" s="20" t="s">
        <v>13</v>
      </c>
      <c r="C85" s="20" t="s">
        <v>6</v>
      </c>
      <c r="D85" s="20" t="s">
        <v>14</v>
      </c>
      <c r="E85" s="11" t="s">
        <v>535</v>
      </c>
      <c r="F85" s="11" t="s">
        <v>428</v>
      </c>
      <c r="G85" s="11" t="s">
        <v>536</v>
      </c>
      <c r="H85" s="11" t="s">
        <v>417</v>
      </c>
      <c r="I85" s="11" t="s">
        <v>537</v>
      </c>
      <c r="J85" s="20" t="s">
        <v>15</v>
      </c>
      <c r="K85" s="20" t="s">
        <v>219</v>
      </c>
      <c r="L85" s="20" t="s">
        <v>58</v>
      </c>
      <c r="M85" s="20" t="s">
        <v>538</v>
      </c>
      <c r="N85" s="20"/>
      <c r="O85" s="20" t="s">
        <v>70</v>
      </c>
      <c r="P85" s="20" t="s">
        <v>393</v>
      </c>
    </row>
    <row r="86" ht="90" customHeight="1" spans="1:16">
      <c r="A86" s="20" t="s">
        <v>539</v>
      </c>
      <c r="B86" s="20" t="s">
        <v>13</v>
      </c>
      <c r="C86" s="20" t="s">
        <v>6</v>
      </c>
      <c r="D86" s="20" t="s">
        <v>14</v>
      </c>
      <c r="E86" s="11" t="s">
        <v>540</v>
      </c>
      <c r="F86" s="11" t="s">
        <v>230</v>
      </c>
      <c r="G86" s="11" t="s">
        <v>541</v>
      </c>
      <c r="H86" s="11" t="s">
        <v>542</v>
      </c>
      <c r="I86" s="11" t="s">
        <v>543</v>
      </c>
      <c r="J86" s="20" t="s">
        <v>15</v>
      </c>
      <c r="K86" s="20" t="s">
        <v>169</v>
      </c>
      <c r="L86" s="20" t="s">
        <v>118</v>
      </c>
      <c r="M86" s="20"/>
      <c r="N86" s="20"/>
      <c r="O86" s="20"/>
      <c r="P86" s="20"/>
    </row>
    <row r="87" ht="90" customHeight="1" spans="1:16">
      <c r="A87" s="20" t="s">
        <v>544</v>
      </c>
      <c r="B87" s="20" t="s">
        <v>13</v>
      </c>
      <c r="C87" s="20" t="s">
        <v>6</v>
      </c>
      <c r="D87" s="20" t="s">
        <v>14</v>
      </c>
      <c r="E87" s="11" t="s">
        <v>545</v>
      </c>
      <c r="F87" s="11" t="s">
        <v>428</v>
      </c>
      <c r="G87" s="11" t="s">
        <v>546</v>
      </c>
      <c r="H87" s="11" t="s">
        <v>547</v>
      </c>
      <c r="I87" s="11" t="s">
        <v>548</v>
      </c>
      <c r="J87" s="20" t="s">
        <v>15</v>
      </c>
      <c r="K87" s="20" t="s">
        <v>158</v>
      </c>
      <c r="L87" s="20" t="s">
        <v>118</v>
      </c>
      <c r="M87" s="20"/>
      <c r="N87" s="20"/>
      <c r="O87" s="20"/>
      <c r="P87" s="20"/>
    </row>
    <row r="88" ht="90" customHeight="1" spans="1:16">
      <c r="A88" s="20" t="s">
        <v>549</v>
      </c>
      <c r="B88" s="20" t="s">
        <v>16</v>
      </c>
      <c r="C88" s="20" t="s">
        <v>6</v>
      </c>
      <c r="D88" s="20" t="s">
        <v>550</v>
      </c>
      <c r="E88" s="11" t="s">
        <v>551</v>
      </c>
      <c r="F88" s="11" t="s">
        <v>552</v>
      </c>
      <c r="G88" s="11" t="s">
        <v>553</v>
      </c>
      <c r="H88" s="11" t="s">
        <v>554</v>
      </c>
      <c r="I88" s="11" t="s">
        <v>555</v>
      </c>
      <c r="J88" s="20" t="s">
        <v>18</v>
      </c>
      <c r="K88" s="20" t="s">
        <v>57</v>
      </c>
      <c r="L88" s="20" t="s">
        <v>118</v>
      </c>
      <c r="M88" s="20"/>
      <c r="N88" s="20"/>
      <c r="O88" s="20"/>
      <c r="P88" s="20"/>
    </row>
    <row r="89" ht="90" customHeight="1" spans="1:16">
      <c r="A89" s="20" t="s">
        <v>556</v>
      </c>
      <c r="B89" s="20" t="s">
        <v>16</v>
      </c>
      <c r="C89" s="20" t="s">
        <v>6</v>
      </c>
      <c r="D89" s="20" t="s">
        <v>550</v>
      </c>
      <c r="E89" s="11" t="s">
        <v>557</v>
      </c>
      <c r="F89" s="11" t="s">
        <v>558</v>
      </c>
      <c r="G89" s="11" t="s">
        <v>559</v>
      </c>
      <c r="H89" s="11" t="s">
        <v>560</v>
      </c>
      <c r="I89" s="11" t="s">
        <v>561</v>
      </c>
      <c r="J89" s="20" t="s">
        <v>18</v>
      </c>
      <c r="K89" s="20" t="s">
        <v>57</v>
      </c>
      <c r="L89" s="20" t="s">
        <v>118</v>
      </c>
      <c r="M89" s="20"/>
      <c r="N89" s="20"/>
      <c r="O89" s="20"/>
      <c r="P89" s="20"/>
    </row>
    <row r="90" ht="90" customHeight="1" spans="1:16">
      <c r="A90" s="20" t="s">
        <v>562</v>
      </c>
      <c r="B90" s="20" t="s">
        <v>16</v>
      </c>
      <c r="C90" s="20" t="s">
        <v>6</v>
      </c>
      <c r="D90" s="20" t="s">
        <v>550</v>
      </c>
      <c r="E90" s="11" t="s">
        <v>563</v>
      </c>
      <c r="F90" s="11" t="s">
        <v>564</v>
      </c>
      <c r="G90" s="11" t="s">
        <v>565</v>
      </c>
      <c r="H90" s="11" t="s">
        <v>566</v>
      </c>
      <c r="I90" s="11" t="s">
        <v>567</v>
      </c>
      <c r="J90" s="20" t="s">
        <v>18</v>
      </c>
      <c r="K90" s="20" t="s">
        <v>568</v>
      </c>
      <c r="L90" s="20" t="s">
        <v>118</v>
      </c>
      <c r="M90" s="20"/>
      <c r="N90" s="20"/>
      <c r="O90" s="20"/>
      <c r="P90" s="20"/>
    </row>
    <row r="91" ht="90" customHeight="1" spans="1:16">
      <c r="A91" s="20" t="s">
        <v>569</v>
      </c>
      <c r="B91" s="20" t="s">
        <v>16</v>
      </c>
      <c r="C91" s="20" t="s">
        <v>6</v>
      </c>
      <c r="D91" s="20" t="s">
        <v>550</v>
      </c>
      <c r="E91" s="11" t="s">
        <v>570</v>
      </c>
      <c r="F91" s="11" t="s">
        <v>571</v>
      </c>
      <c r="G91" s="11" t="s">
        <v>572</v>
      </c>
      <c r="H91" s="11" t="s">
        <v>573</v>
      </c>
      <c r="I91" s="11" t="s">
        <v>574</v>
      </c>
      <c r="J91" s="20" t="s">
        <v>18</v>
      </c>
      <c r="K91" s="20" t="s">
        <v>68</v>
      </c>
      <c r="L91" s="20" t="s">
        <v>58</v>
      </c>
      <c r="M91" s="20" t="s">
        <v>575</v>
      </c>
      <c r="N91" s="20"/>
      <c r="O91" s="20" t="s">
        <v>60</v>
      </c>
      <c r="P91" s="20" t="s">
        <v>393</v>
      </c>
    </row>
    <row r="92" ht="90" customHeight="1" spans="1:16">
      <c r="A92" s="20" t="s">
        <v>576</v>
      </c>
      <c r="B92" s="20" t="s">
        <v>16</v>
      </c>
      <c r="C92" s="20" t="s">
        <v>6</v>
      </c>
      <c r="D92" s="20" t="s">
        <v>550</v>
      </c>
      <c r="E92" s="11" t="s">
        <v>577</v>
      </c>
      <c r="F92" s="11" t="s">
        <v>578</v>
      </c>
      <c r="G92" s="11" t="s">
        <v>579</v>
      </c>
      <c r="H92" s="11" t="s">
        <v>580</v>
      </c>
      <c r="I92" s="11" t="s">
        <v>581</v>
      </c>
      <c r="J92" s="20" t="s">
        <v>18</v>
      </c>
      <c r="K92" s="20" t="s">
        <v>152</v>
      </c>
      <c r="L92" s="20" t="s">
        <v>118</v>
      </c>
      <c r="M92" s="20"/>
      <c r="N92" s="20"/>
      <c r="O92" s="20"/>
      <c r="P92" s="20"/>
    </row>
    <row r="93" ht="90" customHeight="1" spans="1:16">
      <c r="A93" s="20" t="s">
        <v>582</v>
      </c>
      <c r="B93" s="20" t="s">
        <v>16</v>
      </c>
      <c r="C93" s="20" t="s">
        <v>6</v>
      </c>
      <c r="D93" s="20" t="s">
        <v>550</v>
      </c>
      <c r="E93" s="11" t="s">
        <v>583</v>
      </c>
      <c r="F93" s="11" t="s">
        <v>578</v>
      </c>
      <c r="G93" s="11" t="s">
        <v>584</v>
      </c>
      <c r="H93" s="11" t="s">
        <v>585</v>
      </c>
      <c r="I93" s="11" t="s">
        <v>586</v>
      </c>
      <c r="J93" s="20" t="s">
        <v>18</v>
      </c>
      <c r="K93" s="20" t="s">
        <v>158</v>
      </c>
      <c r="L93" s="20" t="s">
        <v>118</v>
      </c>
      <c r="M93" s="20"/>
      <c r="N93" s="20"/>
      <c r="O93" s="20"/>
      <c r="P93" s="20"/>
    </row>
    <row r="94" ht="90" customHeight="1" spans="1:16">
      <c r="A94" s="20" t="s">
        <v>587</v>
      </c>
      <c r="B94" s="20" t="s">
        <v>16</v>
      </c>
      <c r="C94" s="20" t="s">
        <v>6</v>
      </c>
      <c r="D94" s="20" t="s">
        <v>550</v>
      </c>
      <c r="E94" s="11" t="s">
        <v>588</v>
      </c>
      <c r="F94" s="11" t="s">
        <v>589</v>
      </c>
      <c r="G94" s="11" t="s">
        <v>590</v>
      </c>
      <c r="H94" s="11" t="s">
        <v>591</v>
      </c>
      <c r="I94" s="11" t="s">
        <v>592</v>
      </c>
      <c r="J94" s="20" t="s">
        <v>18</v>
      </c>
      <c r="K94" s="20" t="s">
        <v>169</v>
      </c>
      <c r="L94" s="20" t="s">
        <v>118</v>
      </c>
      <c r="M94" s="20"/>
      <c r="N94" s="20"/>
      <c r="O94" s="20"/>
      <c r="P94" s="20"/>
    </row>
    <row r="95" ht="90" customHeight="1" spans="1:16">
      <c r="A95" s="20" t="s">
        <v>593</v>
      </c>
      <c r="B95" s="20" t="s">
        <v>16</v>
      </c>
      <c r="C95" s="20" t="s">
        <v>6</v>
      </c>
      <c r="D95" s="20" t="s">
        <v>550</v>
      </c>
      <c r="E95" s="11" t="s">
        <v>594</v>
      </c>
      <c r="F95" s="11" t="s">
        <v>595</v>
      </c>
      <c r="G95" s="11" t="s">
        <v>596</v>
      </c>
      <c r="H95" s="11" t="s">
        <v>597</v>
      </c>
      <c r="I95" s="11" t="s">
        <v>598</v>
      </c>
      <c r="J95" s="20" t="s">
        <v>18</v>
      </c>
      <c r="K95" s="20" t="s">
        <v>169</v>
      </c>
      <c r="L95" s="20" t="s">
        <v>118</v>
      </c>
      <c r="M95" s="20"/>
      <c r="N95" s="20"/>
      <c r="O95" s="20"/>
      <c r="P95" s="20"/>
    </row>
    <row r="96" ht="90" customHeight="1" spans="1:16">
      <c r="A96" s="20" t="s">
        <v>599</v>
      </c>
      <c r="B96" s="20" t="s">
        <v>16</v>
      </c>
      <c r="C96" s="20" t="s">
        <v>6</v>
      </c>
      <c r="D96" s="20" t="s">
        <v>550</v>
      </c>
      <c r="E96" s="11" t="s">
        <v>600</v>
      </c>
      <c r="F96" s="11" t="s">
        <v>578</v>
      </c>
      <c r="G96" s="11" t="s">
        <v>601</v>
      </c>
      <c r="H96" s="11" t="s">
        <v>602</v>
      </c>
      <c r="I96" s="11" t="s">
        <v>603</v>
      </c>
      <c r="J96" s="20" t="s">
        <v>18</v>
      </c>
      <c r="K96" s="20" t="s">
        <v>117</v>
      </c>
      <c r="L96" s="20" t="s">
        <v>118</v>
      </c>
      <c r="M96" s="20"/>
      <c r="N96" s="20"/>
      <c r="O96" s="20"/>
      <c r="P96" s="20"/>
    </row>
    <row r="97" ht="90" customHeight="1" spans="1:16">
      <c r="A97" s="20" t="s">
        <v>604</v>
      </c>
      <c r="B97" s="20" t="s">
        <v>16</v>
      </c>
      <c r="C97" s="20" t="s">
        <v>6</v>
      </c>
      <c r="D97" s="20" t="s">
        <v>550</v>
      </c>
      <c r="E97" s="11" t="s">
        <v>605</v>
      </c>
      <c r="F97" s="11" t="s">
        <v>606</v>
      </c>
      <c r="G97" s="11" t="s">
        <v>607</v>
      </c>
      <c r="H97" s="11" t="s">
        <v>608</v>
      </c>
      <c r="I97" s="11" t="s">
        <v>609</v>
      </c>
      <c r="J97" s="20" t="s">
        <v>18</v>
      </c>
      <c r="K97" s="20" t="s">
        <v>117</v>
      </c>
      <c r="L97" s="20" t="s">
        <v>118</v>
      </c>
      <c r="M97" s="20"/>
      <c r="N97" s="20"/>
      <c r="O97" s="20"/>
      <c r="P97" s="20"/>
    </row>
    <row r="98" ht="90" customHeight="1" spans="1:16">
      <c r="A98" s="20" t="s">
        <v>610</v>
      </c>
      <c r="B98" s="20" t="s">
        <v>16</v>
      </c>
      <c r="C98" s="20" t="s">
        <v>6</v>
      </c>
      <c r="D98" s="20" t="s">
        <v>550</v>
      </c>
      <c r="E98" s="11" t="s">
        <v>611</v>
      </c>
      <c r="F98" s="11" t="s">
        <v>606</v>
      </c>
      <c r="G98" s="11" t="s">
        <v>612</v>
      </c>
      <c r="H98" s="11" t="s">
        <v>613</v>
      </c>
      <c r="I98" s="11" t="s">
        <v>614</v>
      </c>
      <c r="J98" s="20" t="s">
        <v>18</v>
      </c>
      <c r="K98" s="20" t="s">
        <v>117</v>
      </c>
      <c r="L98" s="20" t="s">
        <v>118</v>
      </c>
      <c r="M98" s="20"/>
      <c r="N98" s="20"/>
      <c r="O98" s="20"/>
      <c r="P98" s="20"/>
    </row>
    <row r="99" ht="90" customHeight="1" spans="1:16">
      <c r="A99" s="20" t="s">
        <v>615</v>
      </c>
      <c r="B99" s="20" t="s">
        <v>16</v>
      </c>
      <c r="C99" s="20" t="s">
        <v>6</v>
      </c>
      <c r="D99" s="20" t="s">
        <v>550</v>
      </c>
      <c r="E99" s="11" t="s">
        <v>616</v>
      </c>
      <c r="F99" s="11" t="s">
        <v>617</v>
      </c>
      <c r="G99" s="11" t="s">
        <v>618</v>
      </c>
      <c r="H99" s="11" t="s">
        <v>619</v>
      </c>
      <c r="I99" s="11" t="s">
        <v>620</v>
      </c>
      <c r="J99" s="20" t="s">
        <v>18</v>
      </c>
      <c r="K99" s="20" t="s">
        <v>57</v>
      </c>
      <c r="L99" s="20" t="s">
        <v>118</v>
      </c>
      <c r="M99" s="20"/>
      <c r="N99" s="20"/>
      <c r="O99" s="20"/>
      <c r="P99" s="20"/>
    </row>
    <row r="100" ht="90" customHeight="1" spans="1:16">
      <c r="A100" s="20" t="s">
        <v>621</v>
      </c>
      <c r="B100" s="20" t="s">
        <v>16</v>
      </c>
      <c r="C100" s="20" t="s">
        <v>6</v>
      </c>
      <c r="D100" s="20" t="s">
        <v>550</v>
      </c>
      <c r="E100" s="11" t="s">
        <v>622</v>
      </c>
      <c r="F100" s="11" t="s">
        <v>623</v>
      </c>
      <c r="G100" s="11" t="s">
        <v>624</v>
      </c>
      <c r="H100" s="11" t="s">
        <v>625</v>
      </c>
      <c r="I100" s="11" t="s">
        <v>626</v>
      </c>
      <c r="J100" s="20" t="s">
        <v>18</v>
      </c>
      <c r="K100" s="20" t="s">
        <v>627</v>
      </c>
      <c r="L100" s="20" t="s">
        <v>118</v>
      </c>
      <c r="M100" s="20"/>
      <c r="N100" s="20"/>
      <c r="O100" s="20"/>
      <c r="P100" s="20"/>
    </row>
    <row r="101" ht="90" customHeight="1" spans="1:16">
      <c r="A101" s="20" t="s">
        <v>628</v>
      </c>
      <c r="B101" s="20" t="s">
        <v>16</v>
      </c>
      <c r="C101" s="20" t="s">
        <v>6</v>
      </c>
      <c r="D101" s="20" t="s">
        <v>550</v>
      </c>
      <c r="E101" s="11" t="s">
        <v>629</v>
      </c>
      <c r="F101" s="11" t="s">
        <v>630</v>
      </c>
      <c r="G101" s="11" t="s">
        <v>631</v>
      </c>
      <c r="H101" s="11" t="s">
        <v>632</v>
      </c>
      <c r="I101" s="11" t="s">
        <v>633</v>
      </c>
      <c r="J101" s="20" t="s">
        <v>18</v>
      </c>
      <c r="K101" s="20" t="s">
        <v>219</v>
      </c>
      <c r="L101" s="20" t="s">
        <v>108</v>
      </c>
      <c r="M101" s="20" t="s">
        <v>634</v>
      </c>
      <c r="N101" s="20" t="s">
        <v>635</v>
      </c>
      <c r="O101" s="20" t="s">
        <v>70</v>
      </c>
      <c r="P101" s="20" t="s">
        <v>393</v>
      </c>
    </row>
    <row r="102" ht="90" customHeight="1" spans="1:16">
      <c r="A102" s="20" t="s">
        <v>636</v>
      </c>
      <c r="B102" s="20" t="s">
        <v>16</v>
      </c>
      <c r="C102" s="20" t="s">
        <v>6</v>
      </c>
      <c r="D102" s="20" t="s">
        <v>550</v>
      </c>
      <c r="E102" s="11" t="s">
        <v>637</v>
      </c>
      <c r="F102" s="11" t="s">
        <v>638</v>
      </c>
      <c r="G102" s="11" t="s">
        <v>639</v>
      </c>
      <c r="H102" s="11" t="s">
        <v>640</v>
      </c>
      <c r="I102" s="11" t="s">
        <v>641</v>
      </c>
      <c r="J102" s="20" t="s">
        <v>18</v>
      </c>
      <c r="K102" s="20" t="s">
        <v>279</v>
      </c>
      <c r="L102" s="20" t="s">
        <v>118</v>
      </c>
      <c r="M102" s="20"/>
      <c r="N102" s="20"/>
      <c r="O102" s="20"/>
      <c r="P102" s="20"/>
    </row>
    <row r="103" ht="90" customHeight="1" spans="1:16">
      <c r="A103" s="20" t="s">
        <v>642</v>
      </c>
      <c r="B103" s="20" t="s">
        <v>16</v>
      </c>
      <c r="C103" s="20" t="s">
        <v>6</v>
      </c>
      <c r="D103" s="20" t="s">
        <v>550</v>
      </c>
      <c r="E103" s="11" t="s">
        <v>643</v>
      </c>
      <c r="F103" s="11" t="s">
        <v>644</v>
      </c>
      <c r="G103" s="11" t="s">
        <v>645</v>
      </c>
      <c r="H103" s="11" t="s">
        <v>646</v>
      </c>
      <c r="I103" s="11" t="s">
        <v>647</v>
      </c>
      <c r="J103" s="20" t="s">
        <v>18</v>
      </c>
      <c r="K103" s="20" t="s">
        <v>279</v>
      </c>
      <c r="L103" s="20" t="s">
        <v>118</v>
      </c>
      <c r="M103" s="20"/>
      <c r="N103" s="20"/>
      <c r="O103" s="20"/>
      <c r="P103" s="20"/>
    </row>
    <row r="104" ht="90" customHeight="1" spans="1:16">
      <c r="A104" s="20" t="s">
        <v>648</v>
      </c>
      <c r="B104" s="20" t="s">
        <v>16</v>
      </c>
      <c r="C104" s="20" t="s">
        <v>6</v>
      </c>
      <c r="D104" s="20" t="s">
        <v>550</v>
      </c>
      <c r="E104" s="11" t="s">
        <v>649</v>
      </c>
      <c r="F104" s="11" t="s">
        <v>650</v>
      </c>
      <c r="G104" s="11" t="s">
        <v>651</v>
      </c>
      <c r="H104" s="11" t="s">
        <v>652</v>
      </c>
      <c r="I104" s="11" t="s">
        <v>653</v>
      </c>
      <c r="J104" s="20" t="s">
        <v>18</v>
      </c>
      <c r="K104" s="20" t="s">
        <v>279</v>
      </c>
      <c r="L104" s="20" t="s">
        <v>118</v>
      </c>
      <c r="M104" s="20"/>
      <c r="N104" s="20"/>
      <c r="O104" s="20"/>
      <c r="P104" s="20"/>
    </row>
    <row r="105" ht="90" customHeight="1" spans="1:16">
      <c r="A105" s="20" t="s">
        <v>654</v>
      </c>
      <c r="B105" s="20" t="s">
        <v>16</v>
      </c>
      <c r="C105" s="20" t="s">
        <v>6</v>
      </c>
      <c r="D105" s="20" t="s">
        <v>550</v>
      </c>
      <c r="E105" s="11" t="s">
        <v>655</v>
      </c>
      <c r="F105" s="11" t="s">
        <v>650</v>
      </c>
      <c r="G105" s="11" t="s">
        <v>656</v>
      </c>
      <c r="H105" s="11" t="s">
        <v>657</v>
      </c>
      <c r="I105" s="11" t="s">
        <v>658</v>
      </c>
      <c r="J105" s="20" t="s">
        <v>18</v>
      </c>
      <c r="K105" s="20" t="s">
        <v>279</v>
      </c>
      <c r="L105" s="20" t="s">
        <v>118</v>
      </c>
      <c r="M105" s="20"/>
      <c r="N105" s="20"/>
      <c r="O105" s="20"/>
      <c r="P105" s="20"/>
    </row>
    <row r="106" ht="90" customHeight="1" spans="1:16">
      <c r="A106" s="20" t="s">
        <v>659</v>
      </c>
      <c r="B106" s="20" t="s">
        <v>16</v>
      </c>
      <c r="C106" s="20" t="s">
        <v>6</v>
      </c>
      <c r="D106" s="20" t="s">
        <v>550</v>
      </c>
      <c r="E106" s="11" t="s">
        <v>660</v>
      </c>
      <c r="F106" s="11" t="s">
        <v>661</v>
      </c>
      <c r="G106" s="11" t="s">
        <v>662</v>
      </c>
      <c r="H106" s="11" t="s">
        <v>663</v>
      </c>
      <c r="I106" s="11" t="s">
        <v>664</v>
      </c>
      <c r="J106" s="20" t="s">
        <v>18</v>
      </c>
      <c r="K106" s="20" t="s">
        <v>279</v>
      </c>
      <c r="L106" s="20" t="s">
        <v>118</v>
      </c>
      <c r="M106" s="20"/>
      <c r="N106" s="20"/>
      <c r="O106" s="20"/>
      <c r="P106" s="20"/>
    </row>
    <row r="107" ht="90" customHeight="1" spans="1:16">
      <c r="A107" s="20" t="s">
        <v>665</v>
      </c>
      <c r="B107" s="20" t="s">
        <v>16</v>
      </c>
      <c r="C107" s="20" t="s">
        <v>6</v>
      </c>
      <c r="D107" s="20" t="s">
        <v>550</v>
      </c>
      <c r="E107" s="11" t="s">
        <v>666</v>
      </c>
      <c r="F107" s="11" t="s">
        <v>667</v>
      </c>
      <c r="G107" s="11" t="s">
        <v>668</v>
      </c>
      <c r="H107" s="11" t="s">
        <v>669</v>
      </c>
      <c r="I107" s="11" t="s">
        <v>670</v>
      </c>
      <c r="J107" s="20" t="s">
        <v>18</v>
      </c>
      <c r="K107" s="20" t="s">
        <v>213</v>
      </c>
      <c r="L107" s="20" t="s">
        <v>118</v>
      </c>
      <c r="M107" s="20"/>
      <c r="N107" s="20"/>
      <c r="O107" s="20"/>
      <c r="P107" s="20"/>
    </row>
    <row r="108" ht="90" customHeight="1" spans="1:16">
      <c r="A108" s="20" t="s">
        <v>671</v>
      </c>
      <c r="B108" s="20" t="s">
        <v>16</v>
      </c>
      <c r="C108" s="20" t="s">
        <v>6</v>
      </c>
      <c r="D108" s="20" t="s">
        <v>550</v>
      </c>
      <c r="E108" s="11" t="s">
        <v>672</v>
      </c>
      <c r="F108" s="11" t="s">
        <v>673</v>
      </c>
      <c r="G108" s="11" t="s">
        <v>674</v>
      </c>
      <c r="H108" s="11" t="s">
        <v>675</v>
      </c>
      <c r="I108" s="11" t="s">
        <v>676</v>
      </c>
      <c r="J108" s="20" t="s">
        <v>18</v>
      </c>
      <c r="K108" s="20" t="s">
        <v>677</v>
      </c>
      <c r="L108" s="20" t="s">
        <v>118</v>
      </c>
      <c r="M108" s="20"/>
      <c r="N108" s="20"/>
      <c r="O108" s="20"/>
      <c r="P108" s="20"/>
    </row>
    <row r="109" ht="90" customHeight="1" spans="1:16">
      <c r="A109" s="20" t="s">
        <v>678</v>
      </c>
      <c r="B109" s="20" t="s">
        <v>16</v>
      </c>
      <c r="C109" s="20" t="s">
        <v>6</v>
      </c>
      <c r="D109" s="20" t="s">
        <v>550</v>
      </c>
      <c r="E109" s="11" t="s">
        <v>679</v>
      </c>
      <c r="F109" s="11" t="s">
        <v>680</v>
      </c>
      <c r="G109" s="11" t="s">
        <v>681</v>
      </c>
      <c r="H109" s="11" t="s">
        <v>211</v>
      </c>
      <c r="I109" s="11" t="s">
        <v>682</v>
      </c>
      <c r="J109" s="20" t="s">
        <v>18</v>
      </c>
      <c r="K109" s="20" t="s">
        <v>412</v>
      </c>
      <c r="L109" s="20" t="s">
        <v>118</v>
      </c>
      <c r="M109" s="20"/>
      <c r="N109" s="20"/>
      <c r="O109" s="20"/>
      <c r="P109" s="20"/>
    </row>
    <row r="110" ht="90" customHeight="1" spans="1:16">
      <c r="A110" s="20" t="s">
        <v>683</v>
      </c>
      <c r="B110" s="20" t="s">
        <v>19</v>
      </c>
      <c r="C110" s="20" t="s">
        <v>6</v>
      </c>
      <c r="D110" s="20" t="s">
        <v>20</v>
      </c>
      <c r="E110" s="11" t="s">
        <v>684</v>
      </c>
      <c r="F110" s="11" t="s">
        <v>685</v>
      </c>
      <c r="G110" s="11" t="s">
        <v>686</v>
      </c>
      <c r="H110" s="11" t="s">
        <v>687</v>
      </c>
      <c r="I110" s="11" t="s">
        <v>688</v>
      </c>
      <c r="J110" s="20" t="s">
        <v>21</v>
      </c>
      <c r="K110" s="20" t="s">
        <v>57</v>
      </c>
      <c r="L110" s="20" t="s">
        <v>118</v>
      </c>
      <c r="M110" s="20"/>
      <c r="N110" s="20"/>
      <c r="O110" s="20"/>
      <c r="P110" s="20"/>
    </row>
    <row r="111" ht="90" customHeight="1" spans="1:16">
      <c r="A111" s="20" t="s">
        <v>689</v>
      </c>
      <c r="B111" s="20" t="s">
        <v>19</v>
      </c>
      <c r="C111" s="20" t="s">
        <v>6</v>
      </c>
      <c r="D111" s="20" t="s">
        <v>20</v>
      </c>
      <c r="E111" s="11" t="s">
        <v>690</v>
      </c>
      <c r="F111" s="11" t="s">
        <v>691</v>
      </c>
      <c r="G111" s="11" t="s">
        <v>692</v>
      </c>
      <c r="H111" s="11" t="s">
        <v>693</v>
      </c>
      <c r="I111" s="11" t="s">
        <v>694</v>
      </c>
      <c r="J111" s="20" t="s">
        <v>21</v>
      </c>
      <c r="K111" s="20" t="s">
        <v>57</v>
      </c>
      <c r="L111" s="20" t="s">
        <v>118</v>
      </c>
      <c r="M111" s="20"/>
      <c r="N111" s="20"/>
      <c r="O111" s="20"/>
      <c r="P111" s="20"/>
    </row>
    <row r="112" ht="90" customHeight="1" spans="1:16">
      <c r="A112" s="20" t="s">
        <v>695</v>
      </c>
      <c r="B112" s="20" t="s">
        <v>19</v>
      </c>
      <c r="C112" s="20" t="s">
        <v>6</v>
      </c>
      <c r="D112" s="20" t="s">
        <v>20</v>
      </c>
      <c r="E112" s="11" t="s">
        <v>696</v>
      </c>
      <c r="F112" s="11" t="s">
        <v>697</v>
      </c>
      <c r="G112" s="11" t="s">
        <v>698</v>
      </c>
      <c r="H112" s="11" t="s">
        <v>699</v>
      </c>
      <c r="I112" s="11" t="s">
        <v>700</v>
      </c>
      <c r="J112" s="20" t="s">
        <v>21</v>
      </c>
      <c r="K112" s="20" t="s">
        <v>57</v>
      </c>
      <c r="L112" s="20" t="s">
        <v>118</v>
      </c>
      <c r="M112" s="20"/>
      <c r="N112" s="20"/>
      <c r="O112" s="20"/>
      <c r="P112" s="20"/>
    </row>
    <row r="113" ht="90" customHeight="1" spans="1:16">
      <c r="A113" s="20" t="s">
        <v>701</v>
      </c>
      <c r="B113" s="20" t="s">
        <v>19</v>
      </c>
      <c r="C113" s="20" t="s">
        <v>6</v>
      </c>
      <c r="D113" s="20" t="s">
        <v>20</v>
      </c>
      <c r="E113" s="11" t="s">
        <v>702</v>
      </c>
      <c r="F113" s="11" t="s">
        <v>703</v>
      </c>
      <c r="G113" s="11" t="s">
        <v>704</v>
      </c>
      <c r="H113" s="11" t="s">
        <v>705</v>
      </c>
      <c r="I113" s="11" t="s">
        <v>706</v>
      </c>
      <c r="J113" s="20" t="s">
        <v>21</v>
      </c>
      <c r="K113" s="20" t="s">
        <v>117</v>
      </c>
      <c r="L113" s="20" t="s">
        <v>118</v>
      </c>
      <c r="M113" s="20"/>
      <c r="N113" s="20"/>
      <c r="O113" s="20"/>
      <c r="P113" s="20"/>
    </row>
    <row r="114" ht="90" customHeight="1" spans="1:16">
      <c r="A114" s="20" t="s">
        <v>707</v>
      </c>
      <c r="B114" s="20" t="s">
        <v>19</v>
      </c>
      <c r="C114" s="20" t="s">
        <v>6</v>
      </c>
      <c r="D114" s="20" t="s">
        <v>20</v>
      </c>
      <c r="E114" s="11" t="s">
        <v>708</v>
      </c>
      <c r="F114" s="11" t="s">
        <v>709</v>
      </c>
      <c r="G114" s="11" t="s">
        <v>710</v>
      </c>
      <c r="H114" s="11" t="s">
        <v>711</v>
      </c>
      <c r="I114" s="11" t="s">
        <v>712</v>
      </c>
      <c r="J114" s="20" t="s">
        <v>21</v>
      </c>
      <c r="K114" s="20" t="s">
        <v>186</v>
      </c>
      <c r="L114" s="20" t="s">
        <v>118</v>
      </c>
      <c r="M114" s="20"/>
      <c r="N114" s="20"/>
      <c r="O114" s="20"/>
      <c r="P114" s="20"/>
    </row>
    <row r="115" ht="90" customHeight="1" spans="1:16">
      <c r="A115" s="20" t="s">
        <v>713</v>
      </c>
      <c r="B115" s="20" t="s">
        <v>19</v>
      </c>
      <c r="C115" s="20" t="s">
        <v>6</v>
      </c>
      <c r="D115" s="20" t="s">
        <v>20</v>
      </c>
      <c r="E115" s="11" t="s">
        <v>714</v>
      </c>
      <c r="F115" s="11" t="s">
        <v>715</v>
      </c>
      <c r="G115" s="11" t="s">
        <v>716</v>
      </c>
      <c r="H115" s="11" t="s">
        <v>717</v>
      </c>
      <c r="I115" s="11" t="s">
        <v>718</v>
      </c>
      <c r="J115" s="20" t="s">
        <v>21</v>
      </c>
      <c r="K115" s="20" t="s">
        <v>186</v>
      </c>
      <c r="L115" s="20" t="s">
        <v>118</v>
      </c>
      <c r="M115" s="20"/>
      <c r="N115" s="20"/>
      <c r="O115" s="20"/>
      <c r="P115" s="20"/>
    </row>
    <row r="116" ht="90" customHeight="1" spans="1:16">
      <c r="A116" s="20" t="s">
        <v>719</v>
      </c>
      <c r="B116" s="20" t="s">
        <v>19</v>
      </c>
      <c r="C116" s="20" t="s">
        <v>6</v>
      </c>
      <c r="D116" s="20" t="s">
        <v>20</v>
      </c>
      <c r="E116" s="11" t="s">
        <v>720</v>
      </c>
      <c r="F116" s="11" t="s">
        <v>721</v>
      </c>
      <c r="G116" s="11" t="s">
        <v>722</v>
      </c>
      <c r="H116" s="11" t="s">
        <v>699</v>
      </c>
      <c r="I116" s="11" t="s">
        <v>723</v>
      </c>
      <c r="J116" s="20" t="s">
        <v>21</v>
      </c>
      <c r="K116" s="20" t="s">
        <v>412</v>
      </c>
      <c r="L116" s="20" t="s">
        <v>118</v>
      </c>
      <c r="M116" s="20"/>
      <c r="N116" s="20"/>
      <c r="O116" s="20"/>
      <c r="P116" s="20"/>
    </row>
    <row r="117" ht="90" customHeight="1" spans="1:16">
      <c r="A117" s="20" t="s">
        <v>724</v>
      </c>
      <c r="B117" s="20" t="s">
        <v>19</v>
      </c>
      <c r="C117" s="20" t="s">
        <v>6</v>
      </c>
      <c r="D117" s="20" t="s">
        <v>20</v>
      </c>
      <c r="E117" s="11" t="s">
        <v>725</v>
      </c>
      <c r="F117" s="11" t="s">
        <v>726</v>
      </c>
      <c r="G117" s="11" t="s">
        <v>727</v>
      </c>
      <c r="H117" s="11" t="s">
        <v>728</v>
      </c>
      <c r="I117" s="11" t="s">
        <v>729</v>
      </c>
      <c r="J117" s="20" t="s">
        <v>21</v>
      </c>
      <c r="K117" s="20" t="s">
        <v>279</v>
      </c>
      <c r="L117" s="20" t="s">
        <v>118</v>
      </c>
      <c r="M117" s="20"/>
      <c r="N117" s="20"/>
      <c r="O117" s="20"/>
      <c r="P117" s="20"/>
    </row>
    <row r="118" ht="90" customHeight="1" spans="1:16">
      <c r="A118" s="20" t="s">
        <v>730</v>
      </c>
      <c r="B118" s="20" t="s">
        <v>19</v>
      </c>
      <c r="C118" s="20" t="s">
        <v>6</v>
      </c>
      <c r="D118" s="20" t="s">
        <v>20</v>
      </c>
      <c r="E118" s="11" t="s">
        <v>731</v>
      </c>
      <c r="F118" s="11" t="s">
        <v>732</v>
      </c>
      <c r="G118" s="11" t="s">
        <v>733</v>
      </c>
      <c r="H118" s="11" t="s">
        <v>211</v>
      </c>
      <c r="I118" s="11" t="s">
        <v>734</v>
      </c>
      <c r="J118" s="20" t="s">
        <v>21</v>
      </c>
      <c r="K118" s="20" t="s">
        <v>219</v>
      </c>
      <c r="L118" s="20" t="s">
        <v>118</v>
      </c>
      <c r="M118" s="20"/>
      <c r="N118" s="20"/>
      <c r="O118" s="20"/>
      <c r="P118" s="20"/>
    </row>
    <row r="119" ht="90" customHeight="1" spans="1:16">
      <c r="A119" s="20" t="s">
        <v>735</v>
      </c>
      <c r="B119" s="20" t="s">
        <v>19</v>
      </c>
      <c r="C119" s="20" t="s">
        <v>6</v>
      </c>
      <c r="D119" s="20" t="s">
        <v>20</v>
      </c>
      <c r="E119" s="11" t="s">
        <v>736</v>
      </c>
      <c r="F119" s="11" t="s">
        <v>737</v>
      </c>
      <c r="G119" s="11" t="s">
        <v>738</v>
      </c>
      <c r="H119" s="11" t="s">
        <v>211</v>
      </c>
      <c r="I119" s="11" t="s">
        <v>739</v>
      </c>
      <c r="J119" s="20" t="s">
        <v>21</v>
      </c>
      <c r="K119" s="20" t="s">
        <v>740</v>
      </c>
      <c r="L119" s="20" t="s">
        <v>118</v>
      </c>
      <c r="M119" s="20"/>
      <c r="N119" s="20"/>
      <c r="O119" s="20"/>
      <c r="P119" s="20"/>
    </row>
    <row r="120" ht="90" customHeight="1" spans="1:16">
      <c r="A120" s="20" t="s">
        <v>741</v>
      </c>
      <c r="B120" s="20" t="s">
        <v>19</v>
      </c>
      <c r="C120" s="20" t="s">
        <v>6</v>
      </c>
      <c r="D120" s="20" t="s">
        <v>20</v>
      </c>
      <c r="E120" s="11" t="s">
        <v>742</v>
      </c>
      <c r="F120" s="11" t="s">
        <v>743</v>
      </c>
      <c r="G120" s="11" t="s">
        <v>744</v>
      </c>
      <c r="H120" s="11" t="s">
        <v>211</v>
      </c>
      <c r="I120" s="11" t="s">
        <v>745</v>
      </c>
      <c r="J120" s="20" t="s">
        <v>21</v>
      </c>
      <c r="K120" s="20" t="s">
        <v>740</v>
      </c>
      <c r="L120" s="20" t="s">
        <v>118</v>
      </c>
      <c r="M120" s="20"/>
      <c r="N120" s="20"/>
      <c r="O120" s="20"/>
      <c r="P120" s="20"/>
    </row>
    <row r="121" ht="90" customHeight="1" spans="1:16">
      <c r="A121" s="20" t="s">
        <v>746</v>
      </c>
      <c r="B121" s="20" t="s">
        <v>19</v>
      </c>
      <c r="C121" s="20" t="s">
        <v>6</v>
      </c>
      <c r="D121" s="20" t="s">
        <v>20</v>
      </c>
      <c r="E121" s="11" t="s">
        <v>747</v>
      </c>
      <c r="F121" s="11" t="s">
        <v>748</v>
      </c>
      <c r="G121" s="11" t="s">
        <v>749</v>
      </c>
      <c r="H121" s="11" t="s">
        <v>750</v>
      </c>
      <c r="I121" s="11" t="s">
        <v>751</v>
      </c>
      <c r="J121" s="20" t="s">
        <v>21</v>
      </c>
      <c r="K121" s="20" t="s">
        <v>740</v>
      </c>
      <c r="L121" s="20" t="s">
        <v>118</v>
      </c>
      <c r="M121" s="20"/>
      <c r="N121" s="20"/>
      <c r="O121" s="20"/>
      <c r="P121" s="20"/>
    </row>
    <row r="122" ht="90" customHeight="1" spans="1:16">
      <c r="A122" s="20" t="s">
        <v>752</v>
      </c>
      <c r="B122" s="20" t="s">
        <v>19</v>
      </c>
      <c r="C122" s="20" t="s">
        <v>6</v>
      </c>
      <c r="D122" s="20" t="s">
        <v>20</v>
      </c>
      <c r="E122" s="11" t="s">
        <v>753</v>
      </c>
      <c r="F122" s="11" t="s">
        <v>754</v>
      </c>
      <c r="G122" s="11" t="s">
        <v>755</v>
      </c>
      <c r="H122" s="11" t="s">
        <v>211</v>
      </c>
      <c r="I122" s="11" t="s">
        <v>756</v>
      </c>
      <c r="J122" s="20" t="s">
        <v>21</v>
      </c>
      <c r="K122" s="20" t="s">
        <v>740</v>
      </c>
      <c r="L122" s="20" t="s">
        <v>118</v>
      </c>
      <c r="M122" s="20"/>
      <c r="N122" s="20"/>
      <c r="O122" s="20"/>
      <c r="P122" s="20"/>
    </row>
    <row r="123" ht="90" customHeight="1" spans="1:16">
      <c r="A123" s="20" t="s">
        <v>757</v>
      </c>
      <c r="B123" s="20" t="s">
        <v>19</v>
      </c>
      <c r="C123" s="20" t="s">
        <v>6</v>
      </c>
      <c r="D123" s="20" t="s">
        <v>20</v>
      </c>
      <c r="E123" s="11" t="s">
        <v>758</v>
      </c>
      <c r="F123" s="11" t="s">
        <v>759</v>
      </c>
      <c r="G123" s="11" t="s">
        <v>760</v>
      </c>
      <c r="H123" s="11" t="s">
        <v>761</v>
      </c>
      <c r="I123" s="11" t="s">
        <v>762</v>
      </c>
      <c r="J123" s="20" t="s">
        <v>21</v>
      </c>
      <c r="K123" s="20" t="s">
        <v>763</v>
      </c>
      <c r="L123" s="20" t="s">
        <v>118</v>
      </c>
      <c r="M123" s="20"/>
      <c r="N123" s="20"/>
      <c r="O123" s="20"/>
      <c r="P123" s="20"/>
    </row>
    <row r="124" ht="90" customHeight="1" spans="1:16">
      <c r="A124" s="20" t="s">
        <v>764</v>
      </c>
      <c r="B124" s="20" t="s">
        <v>19</v>
      </c>
      <c r="C124" s="20" t="s">
        <v>6</v>
      </c>
      <c r="D124" s="20" t="s">
        <v>20</v>
      </c>
      <c r="E124" s="11" t="s">
        <v>765</v>
      </c>
      <c r="F124" s="11" t="s">
        <v>766</v>
      </c>
      <c r="G124" s="11" t="s">
        <v>767</v>
      </c>
      <c r="H124" s="11" t="s">
        <v>768</v>
      </c>
      <c r="I124" s="11" t="s">
        <v>769</v>
      </c>
      <c r="J124" s="20" t="s">
        <v>21</v>
      </c>
      <c r="K124" s="20" t="s">
        <v>763</v>
      </c>
      <c r="L124" s="20" t="s">
        <v>118</v>
      </c>
      <c r="M124" s="20"/>
      <c r="N124" s="20"/>
      <c r="O124" s="20"/>
      <c r="P124" s="20"/>
    </row>
    <row r="125" ht="90" customHeight="1" spans="1:16">
      <c r="A125" s="20" t="s">
        <v>770</v>
      </c>
      <c r="B125" s="20" t="s">
        <v>19</v>
      </c>
      <c r="C125" s="20" t="s">
        <v>6</v>
      </c>
      <c r="D125" s="20" t="s">
        <v>20</v>
      </c>
      <c r="E125" s="11" t="s">
        <v>771</v>
      </c>
      <c r="F125" s="11" t="s">
        <v>772</v>
      </c>
      <c r="G125" s="11" t="s">
        <v>773</v>
      </c>
      <c r="H125" s="11" t="s">
        <v>211</v>
      </c>
      <c r="I125" s="11" t="s">
        <v>774</v>
      </c>
      <c r="J125" s="20" t="s">
        <v>21</v>
      </c>
      <c r="K125" s="20" t="s">
        <v>219</v>
      </c>
      <c r="L125" s="20" t="s">
        <v>118</v>
      </c>
      <c r="M125" s="20"/>
      <c r="N125" s="20"/>
      <c r="O125" s="20"/>
      <c r="P125" s="20"/>
    </row>
    <row r="126" ht="90" customHeight="1" spans="1:16">
      <c r="A126" s="20" t="s">
        <v>775</v>
      </c>
      <c r="B126" s="20" t="s">
        <v>19</v>
      </c>
      <c r="C126" s="20" t="s">
        <v>6</v>
      </c>
      <c r="D126" s="20" t="s">
        <v>20</v>
      </c>
      <c r="E126" s="11" t="s">
        <v>776</v>
      </c>
      <c r="F126" s="11" t="s">
        <v>777</v>
      </c>
      <c r="G126" s="11" t="s">
        <v>778</v>
      </c>
      <c r="H126" s="11" t="s">
        <v>728</v>
      </c>
      <c r="I126" s="11" t="s">
        <v>779</v>
      </c>
      <c r="J126" s="20" t="s">
        <v>21</v>
      </c>
      <c r="K126" s="20" t="s">
        <v>279</v>
      </c>
      <c r="L126" s="20" t="s">
        <v>118</v>
      </c>
      <c r="M126" s="20"/>
      <c r="N126" s="20"/>
      <c r="O126" s="20"/>
      <c r="P126" s="20"/>
    </row>
    <row r="127" ht="90" customHeight="1" spans="1:16">
      <c r="A127" s="20" t="s">
        <v>780</v>
      </c>
      <c r="B127" s="20" t="s">
        <v>19</v>
      </c>
      <c r="C127" s="20" t="s">
        <v>6</v>
      </c>
      <c r="D127" s="20" t="s">
        <v>20</v>
      </c>
      <c r="E127" s="11" t="s">
        <v>781</v>
      </c>
      <c r="F127" s="11" t="s">
        <v>782</v>
      </c>
      <c r="G127" s="11" t="s">
        <v>783</v>
      </c>
      <c r="H127" s="11" t="s">
        <v>699</v>
      </c>
      <c r="I127" s="11" t="s">
        <v>784</v>
      </c>
      <c r="J127" s="20" t="s">
        <v>21</v>
      </c>
      <c r="K127" s="20" t="s">
        <v>314</v>
      </c>
      <c r="L127" s="20" t="s">
        <v>118</v>
      </c>
      <c r="M127" s="20"/>
      <c r="N127" s="20"/>
      <c r="O127" s="20"/>
      <c r="P127" s="20"/>
    </row>
    <row r="128" ht="90" customHeight="1" spans="1:16">
      <c r="A128" s="20" t="s">
        <v>785</v>
      </c>
      <c r="B128" s="20" t="s">
        <v>19</v>
      </c>
      <c r="C128" s="20" t="s">
        <v>6</v>
      </c>
      <c r="D128" s="20" t="s">
        <v>20</v>
      </c>
      <c r="E128" s="11" t="s">
        <v>786</v>
      </c>
      <c r="F128" s="11" t="s">
        <v>787</v>
      </c>
      <c r="G128" s="11" t="s">
        <v>788</v>
      </c>
      <c r="H128" s="11" t="s">
        <v>211</v>
      </c>
      <c r="I128" s="11" t="s">
        <v>789</v>
      </c>
      <c r="J128" s="20" t="s">
        <v>21</v>
      </c>
      <c r="K128" s="20" t="s">
        <v>412</v>
      </c>
      <c r="L128" s="20" t="s">
        <v>118</v>
      </c>
      <c r="M128" s="20"/>
      <c r="N128" s="20"/>
      <c r="O128" s="20"/>
      <c r="P128" s="20"/>
    </row>
    <row r="129" ht="90" customHeight="1" spans="1:16">
      <c r="A129" s="20" t="s">
        <v>790</v>
      </c>
      <c r="B129" s="20" t="s">
        <v>19</v>
      </c>
      <c r="C129" s="20" t="s">
        <v>6</v>
      </c>
      <c r="D129" s="20" t="s">
        <v>20</v>
      </c>
      <c r="E129" s="11" t="s">
        <v>791</v>
      </c>
      <c r="F129" s="11" t="s">
        <v>759</v>
      </c>
      <c r="G129" s="11" t="s">
        <v>792</v>
      </c>
      <c r="H129" s="11" t="s">
        <v>761</v>
      </c>
      <c r="I129" s="11" t="s">
        <v>793</v>
      </c>
      <c r="J129" s="20" t="s">
        <v>21</v>
      </c>
      <c r="K129" s="20" t="s">
        <v>213</v>
      </c>
      <c r="L129" s="20" t="s">
        <v>118</v>
      </c>
      <c r="M129" s="20"/>
      <c r="N129" s="20"/>
      <c r="O129" s="20"/>
      <c r="P129" s="20"/>
    </row>
    <row r="130" ht="90" customHeight="1" spans="1:16">
      <c r="A130" s="20" t="s">
        <v>794</v>
      </c>
      <c r="B130" s="20" t="s">
        <v>19</v>
      </c>
      <c r="C130" s="20" t="s">
        <v>6</v>
      </c>
      <c r="D130" s="20" t="s">
        <v>20</v>
      </c>
      <c r="E130" s="11" t="s">
        <v>795</v>
      </c>
      <c r="F130" s="11" t="s">
        <v>796</v>
      </c>
      <c r="G130" s="11" t="s">
        <v>797</v>
      </c>
      <c r="H130" s="11" t="s">
        <v>798</v>
      </c>
      <c r="I130" s="11" t="s">
        <v>799</v>
      </c>
      <c r="J130" s="20" t="s">
        <v>21</v>
      </c>
      <c r="K130" s="20" t="s">
        <v>627</v>
      </c>
      <c r="L130" s="20" t="s">
        <v>118</v>
      </c>
      <c r="M130" s="20"/>
      <c r="N130" s="20"/>
      <c r="O130" s="20"/>
      <c r="P130" s="20"/>
    </row>
    <row r="131" ht="90" customHeight="1" spans="1:16">
      <c r="A131" s="20" t="s">
        <v>800</v>
      </c>
      <c r="B131" s="20" t="s">
        <v>19</v>
      </c>
      <c r="C131" s="20" t="s">
        <v>6</v>
      </c>
      <c r="D131" s="20" t="s">
        <v>20</v>
      </c>
      <c r="E131" s="11" t="s">
        <v>801</v>
      </c>
      <c r="F131" s="11" t="s">
        <v>802</v>
      </c>
      <c r="G131" s="11" t="s">
        <v>803</v>
      </c>
      <c r="H131" s="11" t="s">
        <v>804</v>
      </c>
      <c r="I131" s="11" t="s">
        <v>805</v>
      </c>
      <c r="J131" s="20" t="s">
        <v>21</v>
      </c>
      <c r="K131" s="20" t="s">
        <v>219</v>
      </c>
      <c r="L131" s="20" t="s">
        <v>58</v>
      </c>
      <c r="M131" s="20" t="s">
        <v>806</v>
      </c>
      <c r="N131" s="20"/>
      <c r="O131" s="20" t="s">
        <v>60</v>
      </c>
      <c r="P131" s="20" t="s">
        <v>807</v>
      </c>
    </row>
    <row r="132" ht="90" customHeight="1" spans="1:16">
      <c r="A132" s="20" t="s">
        <v>808</v>
      </c>
      <c r="B132" s="20" t="s">
        <v>19</v>
      </c>
      <c r="C132" s="20" t="s">
        <v>6</v>
      </c>
      <c r="D132" s="20" t="s">
        <v>20</v>
      </c>
      <c r="E132" s="11" t="s">
        <v>809</v>
      </c>
      <c r="F132" s="11" t="s">
        <v>810</v>
      </c>
      <c r="G132" s="11" t="s">
        <v>811</v>
      </c>
      <c r="H132" s="11" t="s">
        <v>812</v>
      </c>
      <c r="I132" s="11" t="s">
        <v>813</v>
      </c>
      <c r="J132" s="20" t="s">
        <v>21</v>
      </c>
      <c r="K132" s="20" t="s">
        <v>814</v>
      </c>
      <c r="L132" s="20" t="s">
        <v>118</v>
      </c>
      <c r="M132" s="20"/>
      <c r="N132" s="20"/>
      <c r="O132" s="20"/>
      <c r="P132" s="20"/>
    </row>
    <row r="133" ht="90" customHeight="1" spans="1:16">
      <c r="A133" s="20" t="s">
        <v>815</v>
      </c>
      <c r="B133" s="20" t="s">
        <v>19</v>
      </c>
      <c r="C133" s="20" t="s">
        <v>6</v>
      </c>
      <c r="D133" s="20" t="s">
        <v>20</v>
      </c>
      <c r="E133" s="11" t="s">
        <v>816</v>
      </c>
      <c r="F133" s="11" t="s">
        <v>817</v>
      </c>
      <c r="G133" s="11" t="s">
        <v>818</v>
      </c>
      <c r="H133" s="11" t="s">
        <v>819</v>
      </c>
      <c r="I133" s="11" t="s">
        <v>820</v>
      </c>
      <c r="J133" s="20" t="s">
        <v>21</v>
      </c>
      <c r="K133" s="20" t="s">
        <v>186</v>
      </c>
      <c r="L133" s="20" t="s">
        <v>118</v>
      </c>
      <c r="M133" s="20"/>
      <c r="N133" s="20"/>
      <c r="O133" s="20"/>
      <c r="P133" s="20"/>
    </row>
    <row r="134" ht="90" customHeight="1" spans="1:16">
      <c r="A134" s="20" t="s">
        <v>821</v>
      </c>
      <c r="B134" s="20" t="s">
        <v>22</v>
      </c>
      <c r="C134" s="20" t="s">
        <v>6</v>
      </c>
      <c r="D134" s="20" t="s">
        <v>23</v>
      </c>
      <c r="E134" s="11" t="s">
        <v>822</v>
      </c>
      <c r="F134" s="11" t="s">
        <v>823</v>
      </c>
      <c r="G134" s="11" t="s">
        <v>824</v>
      </c>
      <c r="H134" s="11" t="s">
        <v>825</v>
      </c>
      <c r="I134" s="11" t="s">
        <v>826</v>
      </c>
      <c r="J134" s="20" t="s">
        <v>18</v>
      </c>
      <c r="K134" s="20" t="s">
        <v>740</v>
      </c>
      <c r="L134" s="20" t="s">
        <v>118</v>
      </c>
      <c r="M134" s="20"/>
      <c r="N134" s="20"/>
      <c r="O134" s="20"/>
      <c r="P134" s="20"/>
    </row>
    <row r="135" ht="90" customHeight="1" spans="1:16">
      <c r="A135" s="20" t="s">
        <v>827</v>
      </c>
      <c r="B135" s="20" t="s">
        <v>22</v>
      </c>
      <c r="C135" s="20" t="s">
        <v>6</v>
      </c>
      <c r="D135" s="20" t="s">
        <v>23</v>
      </c>
      <c r="E135" s="11" t="s">
        <v>828</v>
      </c>
      <c r="F135" s="11" t="s">
        <v>829</v>
      </c>
      <c r="G135" s="11" t="s">
        <v>830</v>
      </c>
      <c r="H135" s="11" t="s">
        <v>831</v>
      </c>
      <c r="I135" s="11" t="s">
        <v>832</v>
      </c>
      <c r="J135" s="20" t="s">
        <v>18</v>
      </c>
      <c r="K135" s="20" t="s">
        <v>740</v>
      </c>
      <c r="L135" s="20" t="s">
        <v>118</v>
      </c>
      <c r="M135" s="20"/>
      <c r="N135" s="20"/>
      <c r="O135" s="20"/>
      <c r="P135" s="20"/>
    </row>
    <row r="136" ht="90" customHeight="1" spans="1:16">
      <c r="A136" s="20" t="s">
        <v>833</v>
      </c>
      <c r="B136" s="20" t="s">
        <v>22</v>
      </c>
      <c r="C136" s="20" t="s">
        <v>6</v>
      </c>
      <c r="D136" s="20" t="s">
        <v>23</v>
      </c>
      <c r="E136" s="11" t="s">
        <v>834</v>
      </c>
      <c r="F136" s="11" t="s">
        <v>835</v>
      </c>
      <c r="G136" s="11" t="s">
        <v>836</v>
      </c>
      <c r="H136" s="11" t="s">
        <v>837</v>
      </c>
      <c r="I136" s="11" t="s">
        <v>838</v>
      </c>
      <c r="J136" s="20" t="s">
        <v>18</v>
      </c>
      <c r="K136" s="20" t="s">
        <v>219</v>
      </c>
      <c r="L136" s="20" t="s">
        <v>118</v>
      </c>
      <c r="M136" s="20"/>
      <c r="N136" s="20"/>
      <c r="O136" s="20"/>
      <c r="P136" s="20"/>
    </row>
    <row r="137" ht="90" customHeight="1" spans="1:16">
      <c r="A137" s="20" t="s">
        <v>839</v>
      </c>
      <c r="B137" s="20" t="s">
        <v>22</v>
      </c>
      <c r="C137" s="20" t="s">
        <v>6</v>
      </c>
      <c r="D137" s="20" t="s">
        <v>23</v>
      </c>
      <c r="E137" s="11" t="s">
        <v>840</v>
      </c>
      <c r="F137" s="11" t="s">
        <v>841</v>
      </c>
      <c r="G137" s="11" t="s">
        <v>842</v>
      </c>
      <c r="H137" s="11" t="s">
        <v>211</v>
      </c>
      <c r="I137" s="11" t="s">
        <v>843</v>
      </c>
      <c r="J137" s="20" t="s">
        <v>18</v>
      </c>
      <c r="K137" s="20" t="s">
        <v>219</v>
      </c>
      <c r="L137" s="20" t="s">
        <v>118</v>
      </c>
      <c r="M137" s="20"/>
      <c r="N137" s="20"/>
      <c r="O137" s="20"/>
      <c r="P137" s="20"/>
    </row>
    <row r="138" ht="90" customHeight="1" spans="1:16">
      <c r="A138" s="20" t="s">
        <v>844</v>
      </c>
      <c r="B138" s="20" t="s">
        <v>22</v>
      </c>
      <c r="C138" s="20" t="s">
        <v>6</v>
      </c>
      <c r="D138" s="20" t="s">
        <v>23</v>
      </c>
      <c r="E138" s="11" t="s">
        <v>845</v>
      </c>
      <c r="F138" s="11" t="s">
        <v>846</v>
      </c>
      <c r="G138" s="11" t="s">
        <v>847</v>
      </c>
      <c r="H138" s="11" t="s">
        <v>211</v>
      </c>
      <c r="I138" s="11" t="s">
        <v>848</v>
      </c>
      <c r="J138" s="20" t="s">
        <v>18</v>
      </c>
      <c r="K138" s="20" t="s">
        <v>279</v>
      </c>
      <c r="L138" s="20" t="s">
        <v>118</v>
      </c>
      <c r="M138" s="20"/>
      <c r="N138" s="20"/>
      <c r="O138" s="20"/>
      <c r="P138" s="20"/>
    </row>
    <row r="139" ht="90" customHeight="1" spans="1:16">
      <c r="A139" s="20" t="s">
        <v>849</v>
      </c>
      <c r="B139" s="20" t="s">
        <v>22</v>
      </c>
      <c r="C139" s="20" t="s">
        <v>6</v>
      </c>
      <c r="D139" s="20" t="s">
        <v>23</v>
      </c>
      <c r="E139" s="11" t="s">
        <v>850</v>
      </c>
      <c r="F139" s="11" t="s">
        <v>851</v>
      </c>
      <c r="G139" s="11" t="s">
        <v>852</v>
      </c>
      <c r="H139" s="11" t="s">
        <v>211</v>
      </c>
      <c r="I139" s="11" t="s">
        <v>853</v>
      </c>
      <c r="J139" s="20" t="s">
        <v>18</v>
      </c>
      <c r="K139" s="20" t="s">
        <v>627</v>
      </c>
      <c r="L139" s="20" t="s">
        <v>118</v>
      </c>
      <c r="M139" s="20"/>
      <c r="N139" s="20"/>
      <c r="O139" s="20"/>
      <c r="P139" s="20"/>
    </row>
    <row r="140" ht="90" customHeight="1" spans="1:16">
      <c r="A140" s="20" t="s">
        <v>854</v>
      </c>
      <c r="B140" s="20" t="s">
        <v>22</v>
      </c>
      <c r="C140" s="20" t="s">
        <v>6</v>
      </c>
      <c r="D140" s="20" t="s">
        <v>23</v>
      </c>
      <c r="E140" s="11" t="s">
        <v>855</v>
      </c>
      <c r="F140" s="11" t="s">
        <v>856</v>
      </c>
      <c r="G140" s="11" t="s">
        <v>857</v>
      </c>
      <c r="H140" s="11" t="s">
        <v>211</v>
      </c>
      <c r="I140" s="11" t="s">
        <v>858</v>
      </c>
      <c r="J140" s="20" t="s">
        <v>18</v>
      </c>
      <c r="K140" s="20" t="s">
        <v>740</v>
      </c>
      <c r="L140" s="20" t="s">
        <v>118</v>
      </c>
      <c r="M140" s="20"/>
      <c r="N140" s="20"/>
      <c r="O140" s="20"/>
      <c r="P140" s="20"/>
    </row>
    <row r="141" ht="90" customHeight="1" spans="1:16">
      <c r="A141" s="20" t="s">
        <v>859</v>
      </c>
      <c r="B141" s="20" t="s">
        <v>22</v>
      </c>
      <c r="C141" s="20" t="s">
        <v>6</v>
      </c>
      <c r="D141" s="20" t="s">
        <v>23</v>
      </c>
      <c r="E141" s="11" t="s">
        <v>860</v>
      </c>
      <c r="F141" s="11" t="s">
        <v>861</v>
      </c>
      <c r="G141" s="11" t="s">
        <v>862</v>
      </c>
      <c r="H141" s="11" t="s">
        <v>863</v>
      </c>
      <c r="I141" s="11" t="s">
        <v>864</v>
      </c>
      <c r="J141" s="20" t="s">
        <v>18</v>
      </c>
      <c r="K141" s="20" t="s">
        <v>740</v>
      </c>
      <c r="L141" s="20" t="s">
        <v>118</v>
      </c>
      <c r="M141" s="20"/>
      <c r="N141" s="20"/>
      <c r="O141" s="20"/>
      <c r="P141" s="20"/>
    </row>
    <row r="142" ht="90" customHeight="1" spans="1:16">
      <c r="A142" s="20" t="s">
        <v>865</v>
      </c>
      <c r="B142" s="20" t="s">
        <v>22</v>
      </c>
      <c r="C142" s="20" t="s">
        <v>6</v>
      </c>
      <c r="D142" s="20" t="s">
        <v>23</v>
      </c>
      <c r="E142" s="11" t="s">
        <v>866</v>
      </c>
      <c r="F142" s="11" t="s">
        <v>867</v>
      </c>
      <c r="G142" s="11" t="s">
        <v>868</v>
      </c>
      <c r="H142" s="11" t="s">
        <v>869</v>
      </c>
      <c r="I142" s="11" t="s">
        <v>870</v>
      </c>
      <c r="J142" s="20" t="s">
        <v>18</v>
      </c>
      <c r="K142" s="20" t="s">
        <v>57</v>
      </c>
      <c r="L142" s="20" t="s">
        <v>118</v>
      </c>
      <c r="M142" s="20"/>
      <c r="N142" s="20"/>
      <c r="O142" s="20"/>
      <c r="P142" s="20"/>
    </row>
    <row r="143" ht="90" customHeight="1" spans="1:16">
      <c r="A143" s="20" t="s">
        <v>871</v>
      </c>
      <c r="B143" s="20" t="s">
        <v>22</v>
      </c>
      <c r="C143" s="20" t="s">
        <v>6</v>
      </c>
      <c r="D143" s="20" t="s">
        <v>23</v>
      </c>
      <c r="E143" s="11" t="s">
        <v>872</v>
      </c>
      <c r="F143" s="11" t="s">
        <v>873</v>
      </c>
      <c r="G143" s="11" t="s">
        <v>874</v>
      </c>
      <c r="H143" s="11" t="s">
        <v>875</v>
      </c>
      <c r="I143" s="11" t="s">
        <v>876</v>
      </c>
      <c r="J143" s="20" t="s">
        <v>18</v>
      </c>
      <c r="K143" s="20" t="s">
        <v>107</v>
      </c>
      <c r="L143" s="20" t="s">
        <v>118</v>
      </c>
      <c r="M143" s="20"/>
      <c r="N143" s="20"/>
      <c r="O143" s="20"/>
      <c r="P143" s="20"/>
    </row>
    <row r="144" ht="90" customHeight="1" spans="1:16">
      <c r="A144" s="20" t="s">
        <v>877</v>
      </c>
      <c r="B144" s="20" t="s">
        <v>22</v>
      </c>
      <c r="C144" s="20" t="s">
        <v>6</v>
      </c>
      <c r="D144" s="20" t="s">
        <v>23</v>
      </c>
      <c r="E144" s="11" t="s">
        <v>878</v>
      </c>
      <c r="F144" s="11" t="s">
        <v>879</v>
      </c>
      <c r="G144" s="11" t="s">
        <v>880</v>
      </c>
      <c r="H144" s="11" t="s">
        <v>875</v>
      </c>
      <c r="I144" s="11" t="s">
        <v>881</v>
      </c>
      <c r="J144" s="20" t="s">
        <v>18</v>
      </c>
      <c r="K144" s="20" t="s">
        <v>186</v>
      </c>
      <c r="L144" s="20" t="s">
        <v>118</v>
      </c>
      <c r="M144" s="20"/>
      <c r="N144" s="20"/>
      <c r="O144" s="20"/>
      <c r="P144" s="20"/>
    </row>
    <row r="145" ht="90" customHeight="1" spans="1:16">
      <c r="A145" s="20" t="s">
        <v>882</v>
      </c>
      <c r="B145" s="20" t="s">
        <v>22</v>
      </c>
      <c r="C145" s="20" t="s">
        <v>6</v>
      </c>
      <c r="D145" s="20" t="s">
        <v>23</v>
      </c>
      <c r="E145" s="11" t="s">
        <v>883</v>
      </c>
      <c r="F145" s="11" t="s">
        <v>884</v>
      </c>
      <c r="G145" s="11" t="s">
        <v>885</v>
      </c>
      <c r="H145" s="11" t="s">
        <v>886</v>
      </c>
      <c r="I145" s="11" t="s">
        <v>887</v>
      </c>
      <c r="J145" s="20" t="s">
        <v>18</v>
      </c>
      <c r="K145" s="20" t="s">
        <v>279</v>
      </c>
      <c r="L145" s="20" t="s">
        <v>118</v>
      </c>
      <c r="M145" s="20"/>
      <c r="N145" s="20"/>
      <c r="O145" s="20"/>
      <c r="P145" s="20"/>
    </row>
    <row r="146" ht="90" customHeight="1" spans="1:16">
      <c r="A146" s="20" t="s">
        <v>888</v>
      </c>
      <c r="B146" s="20" t="s">
        <v>22</v>
      </c>
      <c r="C146" s="20" t="s">
        <v>6</v>
      </c>
      <c r="D146" s="20" t="s">
        <v>23</v>
      </c>
      <c r="E146" s="11" t="s">
        <v>889</v>
      </c>
      <c r="F146" s="11" t="s">
        <v>890</v>
      </c>
      <c r="G146" s="11" t="s">
        <v>891</v>
      </c>
      <c r="H146" s="11" t="s">
        <v>892</v>
      </c>
      <c r="I146" s="11" t="s">
        <v>893</v>
      </c>
      <c r="J146" s="20" t="s">
        <v>18</v>
      </c>
      <c r="K146" s="20" t="s">
        <v>279</v>
      </c>
      <c r="L146" s="20" t="s">
        <v>118</v>
      </c>
      <c r="M146" s="20"/>
      <c r="N146" s="20"/>
      <c r="O146" s="20"/>
      <c r="P146" s="20"/>
    </row>
    <row r="147" ht="90" customHeight="1" spans="1:16">
      <c r="A147" s="20" t="s">
        <v>894</v>
      </c>
      <c r="B147" s="20" t="s">
        <v>22</v>
      </c>
      <c r="C147" s="20" t="s">
        <v>6</v>
      </c>
      <c r="D147" s="20" t="s">
        <v>23</v>
      </c>
      <c r="E147" s="11" t="s">
        <v>895</v>
      </c>
      <c r="F147" s="11" t="s">
        <v>896</v>
      </c>
      <c r="G147" s="11" t="s">
        <v>897</v>
      </c>
      <c r="H147" s="11" t="s">
        <v>898</v>
      </c>
      <c r="I147" s="11" t="s">
        <v>899</v>
      </c>
      <c r="J147" s="20" t="s">
        <v>18</v>
      </c>
      <c r="K147" s="20" t="s">
        <v>107</v>
      </c>
      <c r="L147" s="20" t="s">
        <v>118</v>
      </c>
      <c r="M147" s="20"/>
      <c r="N147" s="20"/>
      <c r="O147" s="20"/>
      <c r="P147" s="20"/>
    </row>
    <row r="148" ht="90" customHeight="1" spans="1:16">
      <c r="A148" s="20" t="s">
        <v>900</v>
      </c>
      <c r="B148" s="20" t="s">
        <v>22</v>
      </c>
      <c r="C148" s="20" t="s">
        <v>6</v>
      </c>
      <c r="D148" s="20" t="s">
        <v>23</v>
      </c>
      <c r="E148" s="11" t="s">
        <v>901</v>
      </c>
      <c r="F148" s="11" t="s">
        <v>902</v>
      </c>
      <c r="G148" s="11" t="s">
        <v>903</v>
      </c>
      <c r="H148" s="11" t="s">
        <v>211</v>
      </c>
      <c r="I148" s="11" t="s">
        <v>904</v>
      </c>
      <c r="J148" s="20" t="s">
        <v>18</v>
      </c>
      <c r="K148" s="20" t="s">
        <v>219</v>
      </c>
      <c r="L148" s="20" t="s">
        <v>118</v>
      </c>
      <c r="M148" s="20"/>
      <c r="N148" s="20"/>
      <c r="O148" s="20"/>
      <c r="P148" s="20"/>
    </row>
    <row r="149" ht="90" customHeight="1" spans="1:16">
      <c r="A149" s="20" t="s">
        <v>905</v>
      </c>
      <c r="B149" s="20" t="s">
        <v>22</v>
      </c>
      <c r="C149" s="20" t="s">
        <v>6</v>
      </c>
      <c r="D149" s="20" t="s">
        <v>23</v>
      </c>
      <c r="E149" s="11" t="s">
        <v>906</v>
      </c>
      <c r="F149" s="11" t="s">
        <v>907</v>
      </c>
      <c r="G149" s="11" t="s">
        <v>908</v>
      </c>
      <c r="H149" s="11" t="s">
        <v>909</v>
      </c>
      <c r="I149" s="11" t="s">
        <v>910</v>
      </c>
      <c r="J149" s="20" t="s">
        <v>18</v>
      </c>
      <c r="K149" s="20" t="s">
        <v>279</v>
      </c>
      <c r="L149" s="20" t="s">
        <v>118</v>
      </c>
      <c r="M149" s="20"/>
      <c r="N149" s="20"/>
      <c r="O149" s="20"/>
      <c r="P149" s="20"/>
    </row>
    <row r="150" ht="90" customHeight="1" spans="1:16">
      <c r="A150" s="20" t="s">
        <v>911</v>
      </c>
      <c r="B150" s="20" t="s">
        <v>22</v>
      </c>
      <c r="C150" s="20" t="s">
        <v>6</v>
      </c>
      <c r="D150" s="20" t="s">
        <v>23</v>
      </c>
      <c r="E150" s="11" t="s">
        <v>912</v>
      </c>
      <c r="F150" s="11" t="s">
        <v>913</v>
      </c>
      <c r="G150" s="11" t="s">
        <v>914</v>
      </c>
      <c r="H150" s="11" t="s">
        <v>915</v>
      </c>
      <c r="I150" s="11" t="s">
        <v>916</v>
      </c>
      <c r="J150" s="20" t="s">
        <v>18</v>
      </c>
      <c r="K150" s="20" t="s">
        <v>117</v>
      </c>
      <c r="L150" s="20" t="s">
        <v>118</v>
      </c>
      <c r="M150" s="20"/>
      <c r="N150" s="20"/>
      <c r="O150" s="20"/>
      <c r="P150" s="20"/>
    </row>
    <row r="151" ht="90" customHeight="1" spans="1:16">
      <c r="A151" s="20" t="s">
        <v>917</v>
      </c>
      <c r="B151" s="20" t="s">
        <v>22</v>
      </c>
      <c r="C151" s="20" t="s">
        <v>6</v>
      </c>
      <c r="D151" s="20" t="s">
        <v>23</v>
      </c>
      <c r="E151" s="11" t="s">
        <v>918</v>
      </c>
      <c r="F151" s="11" t="s">
        <v>919</v>
      </c>
      <c r="G151" s="11" t="s">
        <v>920</v>
      </c>
      <c r="H151" s="11" t="s">
        <v>921</v>
      </c>
      <c r="I151" s="11" t="s">
        <v>922</v>
      </c>
      <c r="J151" s="20" t="s">
        <v>18</v>
      </c>
      <c r="K151" s="20" t="s">
        <v>117</v>
      </c>
      <c r="L151" s="20" t="s">
        <v>58</v>
      </c>
      <c r="M151" s="20" t="s">
        <v>923</v>
      </c>
      <c r="N151" s="20"/>
      <c r="O151" s="20" t="s">
        <v>206</v>
      </c>
      <c r="P151" s="20" t="s">
        <v>807</v>
      </c>
    </row>
    <row r="152" ht="90" customHeight="1" spans="1:16">
      <c r="A152" s="20" t="s">
        <v>924</v>
      </c>
      <c r="B152" s="20" t="s">
        <v>22</v>
      </c>
      <c r="C152" s="20" t="s">
        <v>6</v>
      </c>
      <c r="D152" s="20" t="s">
        <v>23</v>
      </c>
      <c r="E152" s="11" t="s">
        <v>925</v>
      </c>
      <c r="F152" s="11" t="s">
        <v>926</v>
      </c>
      <c r="G152" s="11" t="s">
        <v>927</v>
      </c>
      <c r="H152" s="11" t="s">
        <v>928</v>
      </c>
      <c r="I152" s="11" t="s">
        <v>929</v>
      </c>
      <c r="J152" s="20" t="s">
        <v>18</v>
      </c>
      <c r="K152" s="20" t="s">
        <v>107</v>
      </c>
      <c r="L152" s="20" t="s">
        <v>118</v>
      </c>
      <c r="M152" s="20"/>
      <c r="N152" s="20"/>
      <c r="O152" s="20"/>
      <c r="P152" s="20"/>
    </row>
    <row r="153" ht="90" customHeight="1" spans="1:16">
      <c r="A153" s="20" t="s">
        <v>930</v>
      </c>
      <c r="B153" s="20" t="s">
        <v>22</v>
      </c>
      <c r="C153" s="20" t="s">
        <v>6</v>
      </c>
      <c r="D153" s="20" t="s">
        <v>23</v>
      </c>
      <c r="E153" s="11" t="s">
        <v>931</v>
      </c>
      <c r="F153" s="11" t="s">
        <v>932</v>
      </c>
      <c r="G153" s="11" t="s">
        <v>933</v>
      </c>
      <c r="H153" s="11" t="s">
        <v>934</v>
      </c>
      <c r="I153" s="11" t="s">
        <v>935</v>
      </c>
      <c r="J153" s="20" t="s">
        <v>18</v>
      </c>
      <c r="K153" s="20" t="s">
        <v>936</v>
      </c>
      <c r="L153" s="20" t="s">
        <v>118</v>
      </c>
      <c r="M153" s="20"/>
      <c r="N153" s="20"/>
      <c r="O153" s="20"/>
      <c r="P153" s="20"/>
    </row>
    <row r="154" ht="90" customHeight="1" spans="1:16">
      <c r="A154" s="20" t="s">
        <v>937</v>
      </c>
      <c r="B154" s="20" t="s">
        <v>22</v>
      </c>
      <c r="C154" s="20" t="s">
        <v>6</v>
      </c>
      <c r="D154" s="20" t="s">
        <v>23</v>
      </c>
      <c r="E154" s="11" t="s">
        <v>938</v>
      </c>
      <c r="F154" s="11" t="s">
        <v>932</v>
      </c>
      <c r="G154" s="11" t="s">
        <v>939</v>
      </c>
      <c r="H154" s="11" t="s">
        <v>940</v>
      </c>
      <c r="I154" s="11" t="s">
        <v>941</v>
      </c>
      <c r="J154" s="20" t="s">
        <v>18</v>
      </c>
      <c r="K154" s="20" t="s">
        <v>152</v>
      </c>
      <c r="L154" s="20" t="s">
        <v>118</v>
      </c>
      <c r="M154" s="20"/>
      <c r="N154" s="20"/>
      <c r="O154" s="20"/>
      <c r="P154" s="20"/>
    </row>
    <row r="155" ht="90" customHeight="1" spans="1:16">
      <c r="A155" s="20" t="s">
        <v>942</v>
      </c>
      <c r="B155" s="20" t="s">
        <v>22</v>
      </c>
      <c r="C155" s="20" t="s">
        <v>6</v>
      </c>
      <c r="D155" s="20" t="s">
        <v>23</v>
      </c>
      <c r="E155" s="11" t="s">
        <v>943</v>
      </c>
      <c r="F155" s="11" t="s">
        <v>944</v>
      </c>
      <c r="G155" s="11" t="s">
        <v>945</v>
      </c>
      <c r="H155" s="11" t="s">
        <v>211</v>
      </c>
      <c r="I155" s="11" t="s">
        <v>946</v>
      </c>
      <c r="J155" s="20" t="s">
        <v>18</v>
      </c>
      <c r="K155" s="20" t="s">
        <v>740</v>
      </c>
      <c r="L155" s="20" t="s">
        <v>118</v>
      </c>
      <c r="M155" s="20"/>
      <c r="N155" s="20"/>
      <c r="O155" s="20"/>
      <c r="P155" s="20"/>
    </row>
    <row r="156" ht="90" customHeight="1" spans="1:16">
      <c r="A156" s="20" t="s">
        <v>947</v>
      </c>
      <c r="B156" s="20" t="s">
        <v>22</v>
      </c>
      <c r="C156" s="20" t="s">
        <v>6</v>
      </c>
      <c r="D156" s="20" t="s">
        <v>23</v>
      </c>
      <c r="E156" s="11" t="s">
        <v>948</v>
      </c>
      <c r="F156" s="11" t="s">
        <v>949</v>
      </c>
      <c r="G156" s="11" t="s">
        <v>950</v>
      </c>
      <c r="H156" s="11" t="s">
        <v>951</v>
      </c>
      <c r="I156" s="11" t="s">
        <v>952</v>
      </c>
      <c r="J156" s="20" t="s">
        <v>18</v>
      </c>
      <c r="K156" s="20" t="s">
        <v>279</v>
      </c>
      <c r="L156" s="20" t="s">
        <v>118</v>
      </c>
      <c r="M156" s="20"/>
      <c r="N156" s="20"/>
      <c r="O156" s="20"/>
      <c r="P156" s="20"/>
    </row>
    <row r="157" ht="90" customHeight="1" spans="1:16">
      <c r="A157" s="20" t="s">
        <v>953</v>
      </c>
      <c r="B157" s="20" t="s">
        <v>22</v>
      </c>
      <c r="C157" s="20" t="s">
        <v>6</v>
      </c>
      <c r="D157" s="20" t="s">
        <v>23</v>
      </c>
      <c r="E157" s="11" t="s">
        <v>954</v>
      </c>
      <c r="F157" s="11" t="s">
        <v>955</v>
      </c>
      <c r="G157" s="11" t="s">
        <v>956</v>
      </c>
      <c r="H157" s="11" t="s">
        <v>211</v>
      </c>
      <c r="I157" s="11" t="s">
        <v>957</v>
      </c>
      <c r="J157" s="20" t="s">
        <v>18</v>
      </c>
      <c r="K157" s="20" t="s">
        <v>958</v>
      </c>
      <c r="L157" s="20" t="s">
        <v>118</v>
      </c>
      <c r="M157" s="20"/>
      <c r="N157" s="20"/>
      <c r="O157" s="20"/>
      <c r="P157" s="20"/>
    </row>
    <row r="158" ht="90" customHeight="1" spans="1:16">
      <c r="A158" s="20" t="s">
        <v>959</v>
      </c>
      <c r="B158" s="20" t="s">
        <v>22</v>
      </c>
      <c r="C158" s="20" t="s">
        <v>6</v>
      </c>
      <c r="D158" s="20" t="s">
        <v>23</v>
      </c>
      <c r="E158" s="11" t="s">
        <v>960</v>
      </c>
      <c r="F158" s="11" t="s">
        <v>961</v>
      </c>
      <c r="G158" s="11" t="s">
        <v>962</v>
      </c>
      <c r="H158" s="11" t="s">
        <v>963</v>
      </c>
      <c r="I158" s="11" t="s">
        <v>964</v>
      </c>
      <c r="J158" s="20" t="s">
        <v>18</v>
      </c>
      <c r="K158" s="20" t="s">
        <v>740</v>
      </c>
      <c r="L158" s="20" t="s">
        <v>118</v>
      </c>
      <c r="M158" s="20"/>
      <c r="N158" s="20"/>
      <c r="O158" s="20"/>
      <c r="P158" s="20"/>
    </row>
    <row r="159" ht="90" customHeight="1" spans="1:16">
      <c r="A159" s="20" t="s">
        <v>965</v>
      </c>
      <c r="B159" s="20" t="s">
        <v>22</v>
      </c>
      <c r="C159" s="20" t="s">
        <v>6</v>
      </c>
      <c r="D159" s="20" t="s">
        <v>23</v>
      </c>
      <c r="E159" s="11" t="s">
        <v>966</v>
      </c>
      <c r="F159" s="11" t="s">
        <v>967</v>
      </c>
      <c r="G159" s="11" t="s">
        <v>968</v>
      </c>
      <c r="H159" s="11" t="s">
        <v>211</v>
      </c>
      <c r="I159" s="11" t="s">
        <v>969</v>
      </c>
      <c r="J159" s="20" t="s">
        <v>18</v>
      </c>
      <c r="K159" s="20" t="s">
        <v>279</v>
      </c>
      <c r="L159" s="20" t="s">
        <v>118</v>
      </c>
      <c r="M159" s="20"/>
      <c r="N159" s="20"/>
      <c r="O159" s="20"/>
      <c r="P159" s="20"/>
    </row>
    <row r="160" ht="90" customHeight="1" spans="1:16">
      <c r="A160" s="20" t="s">
        <v>970</v>
      </c>
      <c r="B160" s="20" t="s">
        <v>22</v>
      </c>
      <c r="C160" s="20" t="s">
        <v>6</v>
      </c>
      <c r="D160" s="20" t="s">
        <v>23</v>
      </c>
      <c r="E160" s="11" t="s">
        <v>971</v>
      </c>
      <c r="F160" s="11" t="s">
        <v>972</v>
      </c>
      <c r="G160" s="11" t="s">
        <v>973</v>
      </c>
      <c r="H160" s="11" t="s">
        <v>974</v>
      </c>
      <c r="I160" s="11" t="s">
        <v>975</v>
      </c>
      <c r="J160" s="20" t="s">
        <v>18</v>
      </c>
      <c r="K160" s="20" t="s">
        <v>279</v>
      </c>
      <c r="L160" s="20" t="s">
        <v>118</v>
      </c>
      <c r="M160" s="20"/>
      <c r="N160" s="20"/>
      <c r="O160" s="20"/>
      <c r="P160" s="20"/>
    </row>
    <row r="161" ht="90" customHeight="1" spans="1:16">
      <c r="A161" s="20" t="s">
        <v>976</v>
      </c>
      <c r="B161" s="20" t="s">
        <v>22</v>
      </c>
      <c r="C161" s="20" t="s">
        <v>6</v>
      </c>
      <c r="D161" s="20" t="s">
        <v>23</v>
      </c>
      <c r="E161" s="11" t="s">
        <v>977</v>
      </c>
      <c r="F161" s="11" t="s">
        <v>978</v>
      </c>
      <c r="G161" s="11" t="s">
        <v>979</v>
      </c>
      <c r="H161" s="11" t="s">
        <v>980</v>
      </c>
      <c r="I161" s="11" t="s">
        <v>981</v>
      </c>
      <c r="J161" s="20" t="s">
        <v>18</v>
      </c>
      <c r="K161" s="20" t="s">
        <v>763</v>
      </c>
      <c r="L161" s="20" t="s">
        <v>58</v>
      </c>
      <c r="M161" s="20" t="s">
        <v>982</v>
      </c>
      <c r="N161" s="20"/>
      <c r="O161" s="20" t="s">
        <v>60</v>
      </c>
      <c r="P161" s="20" t="s">
        <v>807</v>
      </c>
    </row>
    <row r="162" ht="90" customHeight="1" spans="1:16">
      <c r="A162" s="20" t="s">
        <v>983</v>
      </c>
      <c r="B162" s="20" t="s">
        <v>22</v>
      </c>
      <c r="C162" s="20" t="s">
        <v>6</v>
      </c>
      <c r="D162" s="20" t="s">
        <v>23</v>
      </c>
      <c r="E162" s="11" t="s">
        <v>984</v>
      </c>
      <c r="F162" s="11" t="s">
        <v>985</v>
      </c>
      <c r="G162" s="11" t="s">
        <v>986</v>
      </c>
      <c r="H162" s="11" t="s">
        <v>987</v>
      </c>
      <c r="I162" s="11" t="s">
        <v>988</v>
      </c>
      <c r="J162" s="20" t="s">
        <v>18</v>
      </c>
      <c r="K162" s="20" t="s">
        <v>763</v>
      </c>
      <c r="L162" s="20" t="s">
        <v>118</v>
      </c>
      <c r="M162" s="20"/>
      <c r="N162" s="20"/>
      <c r="O162" s="20"/>
      <c r="P162" s="20"/>
    </row>
    <row r="163" ht="90" customHeight="1" spans="1:16">
      <c r="A163" s="20" t="s">
        <v>989</v>
      </c>
      <c r="B163" s="20" t="s">
        <v>22</v>
      </c>
      <c r="C163" s="20" t="s">
        <v>6</v>
      </c>
      <c r="D163" s="20" t="s">
        <v>23</v>
      </c>
      <c r="E163" s="11" t="s">
        <v>990</v>
      </c>
      <c r="F163" s="11" t="s">
        <v>991</v>
      </c>
      <c r="G163" s="11" t="s">
        <v>992</v>
      </c>
      <c r="H163" s="11" t="s">
        <v>987</v>
      </c>
      <c r="I163" s="11" t="s">
        <v>993</v>
      </c>
      <c r="J163" s="20" t="s">
        <v>18</v>
      </c>
      <c r="K163" s="20" t="s">
        <v>763</v>
      </c>
      <c r="L163" s="20" t="s">
        <v>118</v>
      </c>
      <c r="M163" s="20"/>
      <c r="N163" s="20"/>
      <c r="O163" s="20"/>
      <c r="P163" s="20"/>
    </row>
    <row r="164" ht="90" customHeight="1" spans="1:16">
      <c r="A164" s="20" t="s">
        <v>994</v>
      </c>
      <c r="B164" s="20" t="s">
        <v>22</v>
      </c>
      <c r="C164" s="20" t="s">
        <v>6</v>
      </c>
      <c r="D164" s="20" t="s">
        <v>23</v>
      </c>
      <c r="E164" s="11" t="s">
        <v>995</v>
      </c>
      <c r="F164" s="11" t="s">
        <v>996</v>
      </c>
      <c r="G164" s="11" t="s">
        <v>997</v>
      </c>
      <c r="H164" s="11" t="s">
        <v>998</v>
      </c>
      <c r="I164" s="11" t="s">
        <v>999</v>
      </c>
      <c r="J164" s="20" t="s">
        <v>18</v>
      </c>
      <c r="K164" s="20" t="s">
        <v>213</v>
      </c>
      <c r="L164" s="20" t="s">
        <v>118</v>
      </c>
      <c r="M164" s="20"/>
      <c r="N164" s="20"/>
      <c r="O164" s="20"/>
      <c r="P164" s="20"/>
    </row>
    <row r="165" ht="90" customHeight="1" spans="1:16">
      <c r="A165" s="20" t="s">
        <v>1000</v>
      </c>
      <c r="B165" s="20" t="s">
        <v>22</v>
      </c>
      <c r="C165" s="20" t="s">
        <v>6</v>
      </c>
      <c r="D165" s="20" t="s">
        <v>23</v>
      </c>
      <c r="E165" s="11" t="s">
        <v>1001</v>
      </c>
      <c r="F165" s="11" t="s">
        <v>1002</v>
      </c>
      <c r="G165" s="11" t="s">
        <v>1003</v>
      </c>
      <c r="H165" s="11" t="s">
        <v>1004</v>
      </c>
      <c r="I165" s="11" t="s">
        <v>1005</v>
      </c>
      <c r="J165" s="20" t="s">
        <v>18</v>
      </c>
      <c r="K165" s="20" t="s">
        <v>213</v>
      </c>
      <c r="L165" s="20" t="s">
        <v>118</v>
      </c>
      <c r="M165" s="20"/>
      <c r="N165" s="20"/>
      <c r="O165" s="20"/>
      <c r="P165" s="20"/>
    </row>
    <row r="166" ht="90" customHeight="1" spans="1:16">
      <c r="A166" s="20" t="s">
        <v>1006</v>
      </c>
      <c r="B166" s="20" t="s">
        <v>22</v>
      </c>
      <c r="C166" s="20" t="s">
        <v>6</v>
      </c>
      <c r="D166" s="20" t="s">
        <v>23</v>
      </c>
      <c r="E166" s="11" t="s">
        <v>1007</v>
      </c>
      <c r="F166" s="11" t="s">
        <v>1008</v>
      </c>
      <c r="G166" s="11" t="s">
        <v>1009</v>
      </c>
      <c r="H166" s="11" t="s">
        <v>211</v>
      </c>
      <c r="I166" s="11" t="s">
        <v>1010</v>
      </c>
      <c r="J166" s="20" t="s">
        <v>18</v>
      </c>
      <c r="K166" s="20" t="s">
        <v>279</v>
      </c>
      <c r="L166" s="20" t="s">
        <v>118</v>
      </c>
      <c r="M166" s="20"/>
      <c r="N166" s="20"/>
      <c r="O166" s="20"/>
      <c r="P166" s="20"/>
    </row>
    <row r="167" ht="90" customHeight="1" spans="1:16">
      <c r="A167" s="20" t="s">
        <v>1011</v>
      </c>
      <c r="B167" s="20" t="s">
        <v>22</v>
      </c>
      <c r="C167" s="20" t="s">
        <v>6</v>
      </c>
      <c r="D167" s="20" t="s">
        <v>23</v>
      </c>
      <c r="E167" s="11" t="s">
        <v>1012</v>
      </c>
      <c r="F167" s="11" t="s">
        <v>1013</v>
      </c>
      <c r="G167" s="11" t="s">
        <v>1014</v>
      </c>
      <c r="H167" s="11" t="s">
        <v>1015</v>
      </c>
      <c r="I167" s="11" t="s">
        <v>1016</v>
      </c>
      <c r="J167" s="20" t="s">
        <v>18</v>
      </c>
      <c r="K167" s="20" t="s">
        <v>400</v>
      </c>
      <c r="L167" s="20" t="s">
        <v>118</v>
      </c>
      <c r="M167" s="20"/>
      <c r="N167" s="20"/>
      <c r="O167" s="20"/>
      <c r="P167" s="20"/>
    </row>
    <row r="168" ht="90" customHeight="1" spans="1:16">
      <c r="A168" s="20" t="s">
        <v>1017</v>
      </c>
      <c r="B168" s="20" t="s">
        <v>22</v>
      </c>
      <c r="C168" s="20" t="s">
        <v>6</v>
      </c>
      <c r="D168" s="20" t="s">
        <v>23</v>
      </c>
      <c r="E168" s="11" t="s">
        <v>1018</v>
      </c>
      <c r="F168" s="11" t="s">
        <v>1019</v>
      </c>
      <c r="G168" s="11" t="s">
        <v>1020</v>
      </c>
      <c r="H168" s="11" t="s">
        <v>1021</v>
      </c>
      <c r="I168" s="11" t="s">
        <v>1022</v>
      </c>
      <c r="J168" s="20" t="s">
        <v>18</v>
      </c>
      <c r="K168" s="20" t="s">
        <v>400</v>
      </c>
      <c r="L168" s="20" t="s">
        <v>118</v>
      </c>
      <c r="M168" s="20"/>
      <c r="N168" s="20"/>
      <c r="O168" s="20"/>
      <c r="P168" s="20"/>
    </row>
    <row r="169" ht="90" customHeight="1" spans="1:16">
      <c r="A169" s="20" t="s">
        <v>1023</v>
      </c>
      <c r="B169" s="20" t="s">
        <v>22</v>
      </c>
      <c r="C169" s="20" t="s">
        <v>6</v>
      </c>
      <c r="D169" s="20" t="s">
        <v>23</v>
      </c>
      <c r="E169" s="11" t="s">
        <v>1024</v>
      </c>
      <c r="F169" s="11" t="s">
        <v>1025</v>
      </c>
      <c r="G169" s="11" t="s">
        <v>1026</v>
      </c>
      <c r="H169" s="11" t="s">
        <v>812</v>
      </c>
      <c r="I169" s="11" t="s">
        <v>1027</v>
      </c>
      <c r="J169" s="20" t="s">
        <v>18</v>
      </c>
      <c r="K169" s="20" t="s">
        <v>814</v>
      </c>
      <c r="L169" s="20" t="s">
        <v>118</v>
      </c>
      <c r="M169" s="20"/>
      <c r="N169" s="20"/>
      <c r="O169" s="20"/>
      <c r="P169" s="20"/>
    </row>
    <row r="170" ht="90" customHeight="1" spans="1:16">
      <c r="A170" s="20" t="s">
        <v>1028</v>
      </c>
      <c r="B170" s="20" t="s">
        <v>22</v>
      </c>
      <c r="C170" s="20" t="s">
        <v>6</v>
      </c>
      <c r="D170" s="20" t="s">
        <v>23</v>
      </c>
      <c r="E170" s="11" t="s">
        <v>1029</v>
      </c>
      <c r="F170" s="11" t="s">
        <v>1030</v>
      </c>
      <c r="G170" s="11" t="s">
        <v>1031</v>
      </c>
      <c r="H170" s="11" t="s">
        <v>211</v>
      </c>
      <c r="I170" s="11" t="s">
        <v>1032</v>
      </c>
      <c r="J170" s="20" t="s">
        <v>18</v>
      </c>
      <c r="K170" s="20" t="s">
        <v>677</v>
      </c>
      <c r="L170" s="20" t="s">
        <v>118</v>
      </c>
      <c r="M170" s="20"/>
      <c r="N170" s="20"/>
      <c r="O170" s="20"/>
      <c r="P170" s="20"/>
    </row>
    <row r="171" ht="90" customHeight="1" spans="1:16">
      <c r="A171" s="20" t="s">
        <v>1033</v>
      </c>
      <c r="B171" s="20" t="s">
        <v>24</v>
      </c>
      <c r="C171" s="20" t="s">
        <v>6</v>
      </c>
      <c r="D171" s="20" t="s">
        <v>25</v>
      </c>
      <c r="E171" s="11" t="s">
        <v>1034</v>
      </c>
      <c r="F171" s="11" t="s">
        <v>1035</v>
      </c>
      <c r="G171" s="11" t="s">
        <v>1036</v>
      </c>
      <c r="H171" s="11" t="s">
        <v>1037</v>
      </c>
      <c r="I171" s="11" t="s">
        <v>1038</v>
      </c>
      <c r="J171" s="20" t="s">
        <v>18</v>
      </c>
      <c r="K171" s="20" t="s">
        <v>57</v>
      </c>
      <c r="L171" s="20" t="s">
        <v>118</v>
      </c>
      <c r="M171" s="20"/>
      <c r="N171" s="20"/>
      <c r="O171" s="20"/>
      <c r="P171" s="20"/>
    </row>
    <row r="172" ht="90" customHeight="1" spans="1:16">
      <c r="A172" s="20" t="s">
        <v>1039</v>
      </c>
      <c r="B172" s="20" t="s">
        <v>24</v>
      </c>
      <c r="C172" s="20" t="s">
        <v>6</v>
      </c>
      <c r="D172" s="20" t="s">
        <v>25</v>
      </c>
      <c r="E172" s="11" t="s">
        <v>1040</v>
      </c>
      <c r="F172" s="11" t="s">
        <v>1041</v>
      </c>
      <c r="G172" s="11" t="s">
        <v>1042</v>
      </c>
      <c r="H172" s="11" t="s">
        <v>1043</v>
      </c>
      <c r="I172" s="11" t="s">
        <v>1044</v>
      </c>
      <c r="J172" s="20" t="s">
        <v>18</v>
      </c>
      <c r="K172" s="20" t="s">
        <v>57</v>
      </c>
      <c r="L172" s="20" t="s">
        <v>118</v>
      </c>
      <c r="M172" s="20"/>
      <c r="N172" s="20"/>
      <c r="O172" s="20"/>
      <c r="P172" s="20"/>
    </row>
    <row r="173" ht="90" customHeight="1" spans="1:16">
      <c r="A173" s="20" t="s">
        <v>1045</v>
      </c>
      <c r="B173" s="20" t="s">
        <v>24</v>
      </c>
      <c r="C173" s="20" t="s">
        <v>6</v>
      </c>
      <c r="D173" s="20" t="s">
        <v>25</v>
      </c>
      <c r="E173" s="11" t="s">
        <v>1046</v>
      </c>
      <c r="F173" s="11" t="s">
        <v>1047</v>
      </c>
      <c r="G173" s="11" t="s">
        <v>1048</v>
      </c>
      <c r="H173" s="11" t="s">
        <v>1049</v>
      </c>
      <c r="I173" s="11" t="s">
        <v>1050</v>
      </c>
      <c r="J173" s="20" t="s">
        <v>18</v>
      </c>
      <c r="K173" s="20" t="s">
        <v>107</v>
      </c>
      <c r="L173" s="20" t="s">
        <v>118</v>
      </c>
      <c r="M173" s="20"/>
      <c r="N173" s="20"/>
      <c r="O173" s="20"/>
      <c r="P173" s="20"/>
    </row>
    <row r="174" ht="90" customHeight="1" spans="1:16">
      <c r="A174" s="20" t="s">
        <v>1051</v>
      </c>
      <c r="B174" s="20" t="s">
        <v>24</v>
      </c>
      <c r="C174" s="20" t="s">
        <v>6</v>
      </c>
      <c r="D174" s="20" t="s">
        <v>25</v>
      </c>
      <c r="E174" s="11" t="s">
        <v>1052</v>
      </c>
      <c r="F174" s="11" t="s">
        <v>1053</v>
      </c>
      <c r="G174" s="11" t="s">
        <v>1054</v>
      </c>
      <c r="H174" s="11" t="s">
        <v>875</v>
      </c>
      <c r="I174" s="11" t="s">
        <v>1055</v>
      </c>
      <c r="J174" s="20" t="s">
        <v>18</v>
      </c>
      <c r="K174" s="20" t="s">
        <v>107</v>
      </c>
      <c r="L174" s="20" t="s">
        <v>118</v>
      </c>
      <c r="M174" s="20"/>
      <c r="N174" s="20"/>
      <c r="O174" s="20"/>
      <c r="P174" s="20"/>
    </row>
    <row r="175" ht="90" customHeight="1" spans="1:16">
      <c r="A175" s="20" t="s">
        <v>1056</v>
      </c>
      <c r="B175" s="20" t="s">
        <v>24</v>
      </c>
      <c r="C175" s="20" t="s">
        <v>6</v>
      </c>
      <c r="D175" s="20" t="s">
        <v>25</v>
      </c>
      <c r="E175" s="11" t="s">
        <v>1057</v>
      </c>
      <c r="F175" s="11" t="s">
        <v>1058</v>
      </c>
      <c r="G175" s="11" t="s">
        <v>1059</v>
      </c>
      <c r="H175" s="11" t="s">
        <v>1060</v>
      </c>
      <c r="I175" s="11" t="s">
        <v>1061</v>
      </c>
      <c r="J175" s="20" t="s">
        <v>18</v>
      </c>
      <c r="K175" s="20" t="s">
        <v>152</v>
      </c>
      <c r="L175" s="20" t="s">
        <v>118</v>
      </c>
      <c r="M175" s="20"/>
      <c r="N175" s="20"/>
      <c r="O175" s="20"/>
      <c r="P175" s="20"/>
    </row>
    <row r="176" ht="90" customHeight="1" spans="1:16">
      <c r="A176" s="20" t="s">
        <v>1062</v>
      </c>
      <c r="B176" s="20" t="s">
        <v>24</v>
      </c>
      <c r="C176" s="20" t="s">
        <v>6</v>
      </c>
      <c r="D176" s="20" t="s">
        <v>25</v>
      </c>
      <c r="E176" s="11" t="s">
        <v>1063</v>
      </c>
      <c r="F176" s="11" t="s">
        <v>1064</v>
      </c>
      <c r="G176" s="11" t="s">
        <v>1065</v>
      </c>
      <c r="H176" s="11" t="s">
        <v>211</v>
      </c>
      <c r="I176" s="11" t="s">
        <v>1066</v>
      </c>
      <c r="J176" s="20" t="s">
        <v>18</v>
      </c>
      <c r="K176" s="20" t="s">
        <v>219</v>
      </c>
      <c r="L176" s="20" t="s">
        <v>118</v>
      </c>
      <c r="M176" s="20"/>
      <c r="N176" s="20"/>
      <c r="O176" s="20"/>
      <c r="P176" s="20"/>
    </row>
    <row r="177" ht="90" customHeight="1" spans="1:16">
      <c r="A177" s="20" t="s">
        <v>1067</v>
      </c>
      <c r="B177" s="20" t="s">
        <v>24</v>
      </c>
      <c r="C177" s="20" t="s">
        <v>6</v>
      </c>
      <c r="D177" s="20" t="s">
        <v>25</v>
      </c>
      <c r="E177" s="11" t="s">
        <v>1068</v>
      </c>
      <c r="F177" s="11" t="s">
        <v>1069</v>
      </c>
      <c r="G177" s="11" t="s">
        <v>1070</v>
      </c>
      <c r="H177" s="11" t="s">
        <v>1071</v>
      </c>
      <c r="I177" s="11" t="s">
        <v>1072</v>
      </c>
      <c r="J177" s="20" t="s">
        <v>18</v>
      </c>
      <c r="K177" s="20" t="s">
        <v>279</v>
      </c>
      <c r="L177" s="20" t="s">
        <v>118</v>
      </c>
      <c r="M177" s="20"/>
      <c r="N177" s="20"/>
      <c r="O177" s="20"/>
      <c r="P177" s="20"/>
    </row>
    <row r="178" ht="90" customHeight="1" spans="1:16">
      <c r="A178" s="20" t="s">
        <v>1073</v>
      </c>
      <c r="B178" s="20" t="s">
        <v>24</v>
      </c>
      <c r="C178" s="20" t="s">
        <v>6</v>
      </c>
      <c r="D178" s="20" t="s">
        <v>25</v>
      </c>
      <c r="E178" s="11" t="s">
        <v>1074</v>
      </c>
      <c r="F178" s="11" t="s">
        <v>1075</v>
      </c>
      <c r="G178" s="11" t="s">
        <v>1076</v>
      </c>
      <c r="H178" s="11" t="s">
        <v>1077</v>
      </c>
      <c r="I178" s="11" t="s">
        <v>1078</v>
      </c>
      <c r="J178" s="20" t="s">
        <v>18</v>
      </c>
      <c r="K178" s="20" t="s">
        <v>57</v>
      </c>
      <c r="L178" s="20" t="s">
        <v>118</v>
      </c>
      <c r="M178" s="20"/>
      <c r="N178" s="20"/>
      <c r="O178" s="20"/>
      <c r="P178" s="20"/>
    </row>
    <row r="179" ht="90" customHeight="1" spans="1:16">
      <c r="A179" s="20" t="s">
        <v>1079</v>
      </c>
      <c r="B179" s="20" t="s">
        <v>24</v>
      </c>
      <c r="C179" s="20" t="s">
        <v>6</v>
      </c>
      <c r="D179" s="20" t="s">
        <v>25</v>
      </c>
      <c r="E179" s="11" t="s">
        <v>1080</v>
      </c>
      <c r="F179" s="11" t="s">
        <v>1081</v>
      </c>
      <c r="G179" s="11" t="s">
        <v>1082</v>
      </c>
      <c r="H179" s="11" t="s">
        <v>1077</v>
      </c>
      <c r="I179" s="11" t="s">
        <v>1083</v>
      </c>
      <c r="J179" s="20" t="s">
        <v>18</v>
      </c>
      <c r="K179" s="20" t="s">
        <v>219</v>
      </c>
      <c r="L179" s="20" t="s">
        <v>118</v>
      </c>
      <c r="M179" s="20"/>
      <c r="N179" s="20"/>
      <c r="O179" s="20"/>
      <c r="P179" s="20"/>
    </row>
    <row r="180" ht="90" customHeight="1" spans="1:16">
      <c r="A180" s="20" t="s">
        <v>1084</v>
      </c>
      <c r="B180" s="20" t="s">
        <v>26</v>
      </c>
      <c r="C180" s="20" t="s">
        <v>6</v>
      </c>
      <c r="D180" s="20" t="s">
        <v>27</v>
      </c>
      <c r="E180" s="11" t="s">
        <v>1085</v>
      </c>
      <c r="F180" s="11" t="s">
        <v>1086</v>
      </c>
      <c r="G180" s="11" t="s">
        <v>1087</v>
      </c>
      <c r="H180" s="11" t="s">
        <v>1088</v>
      </c>
      <c r="I180" s="11" t="s">
        <v>1089</v>
      </c>
      <c r="J180" s="20" t="s">
        <v>21</v>
      </c>
      <c r="K180" s="20" t="s">
        <v>57</v>
      </c>
      <c r="L180" s="20" t="s">
        <v>118</v>
      </c>
      <c r="M180" s="20"/>
      <c r="N180" s="20"/>
      <c r="O180" s="20"/>
      <c r="P180" s="20"/>
    </row>
    <row r="181" ht="90" customHeight="1" spans="1:16">
      <c r="A181" s="20" t="s">
        <v>1090</v>
      </c>
      <c r="B181" s="20" t="s">
        <v>26</v>
      </c>
      <c r="C181" s="20" t="s">
        <v>6</v>
      </c>
      <c r="D181" s="20" t="s">
        <v>27</v>
      </c>
      <c r="E181" s="11" t="s">
        <v>1091</v>
      </c>
      <c r="F181" s="11" t="s">
        <v>1092</v>
      </c>
      <c r="G181" s="11" t="s">
        <v>1093</v>
      </c>
      <c r="H181" s="11" t="s">
        <v>1094</v>
      </c>
      <c r="I181" s="11" t="s">
        <v>1095</v>
      </c>
      <c r="J181" s="20" t="s">
        <v>21</v>
      </c>
      <c r="K181" s="20" t="s">
        <v>57</v>
      </c>
      <c r="L181" s="20" t="s">
        <v>58</v>
      </c>
      <c r="M181" s="20" t="s">
        <v>1096</v>
      </c>
      <c r="N181" s="20"/>
      <c r="O181" s="20" t="s">
        <v>206</v>
      </c>
      <c r="P181" s="20" t="s">
        <v>807</v>
      </c>
    </row>
    <row r="182" ht="90" customHeight="1" spans="1:16">
      <c r="A182" s="20" t="s">
        <v>1097</v>
      </c>
      <c r="B182" s="20" t="s">
        <v>26</v>
      </c>
      <c r="C182" s="20" t="s">
        <v>6</v>
      </c>
      <c r="D182" s="20" t="s">
        <v>27</v>
      </c>
      <c r="E182" s="11" t="s">
        <v>1098</v>
      </c>
      <c r="F182" s="11" t="s">
        <v>782</v>
      </c>
      <c r="G182" s="11" t="s">
        <v>1099</v>
      </c>
      <c r="H182" s="11" t="s">
        <v>211</v>
      </c>
      <c r="I182" s="11" t="s">
        <v>1100</v>
      </c>
      <c r="J182" s="20" t="s">
        <v>21</v>
      </c>
      <c r="K182" s="20" t="s">
        <v>958</v>
      </c>
      <c r="L182" s="20" t="s">
        <v>118</v>
      </c>
      <c r="M182" s="20"/>
      <c r="N182" s="20"/>
      <c r="O182" s="20"/>
      <c r="P182" s="20"/>
    </row>
    <row r="183" ht="90" customHeight="1" spans="1:16">
      <c r="A183" s="20" t="s">
        <v>1101</v>
      </c>
      <c r="B183" s="20" t="s">
        <v>26</v>
      </c>
      <c r="C183" s="20" t="s">
        <v>6</v>
      </c>
      <c r="D183" s="20" t="s">
        <v>27</v>
      </c>
      <c r="E183" s="11" t="s">
        <v>1102</v>
      </c>
      <c r="F183" s="11" t="s">
        <v>1103</v>
      </c>
      <c r="G183" s="11" t="s">
        <v>1104</v>
      </c>
      <c r="H183" s="11" t="s">
        <v>1105</v>
      </c>
      <c r="I183" s="11" t="s">
        <v>1106</v>
      </c>
      <c r="J183" s="20" t="s">
        <v>21</v>
      </c>
      <c r="K183" s="20" t="s">
        <v>186</v>
      </c>
      <c r="L183" s="20" t="s">
        <v>118</v>
      </c>
      <c r="M183" s="20"/>
      <c r="N183" s="20"/>
      <c r="O183" s="20"/>
      <c r="P183" s="20"/>
    </row>
    <row r="184" ht="90" customHeight="1" spans="1:16">
      <c r="A184" s="20" t="s">
        <v>1107</v>
      </c>
      <c r="B184" s="20" t="s">
        <v>26</v>
      </c>
      <c r="C184" s="20" t="s">
        <v>6</v>
      </c>
      <c r="D184" s="20" t="s">
        <v>27</v>
      </c>
      <c r="E184" s="11" t="s">
        <v>1108</v>
      </c>
      <c r="F184" s="11" t="s">
        <v>1109</v>
      </c>
      <c r="G184" s="11" t="s">
        <v>1110</v>
      </c>
      <c r="H184" s="11" t="s">
        <v>211</v>
      </c>
      <c r="I184" s="11" t="s">
        <v>1111</v>
      </c>
      <c r="J184" s="20" t="s">
        <v>21</v>
      </c>
      <c r="K184" s="20" t="s">
        <v>219</v>
      </c>
      <c r="L184" s="20" t="s">
        <v>118</v>
      </c>
      <c r="M184" s="20"/>
      <c r="N184" s="20"/>
      <c r="O184" s="20"/>
      <c r="P184" s="20"/>
    </row>
    <row r="185" ht="90" customHeight="1" spans="1:16">
      <c r="A185" s="20" t="s">
        <v>1112</v>
      </c>
      <c r="B185" s="20" t="s">
        <v>26</v>
      </c>
      <c r="C185" s="20" t="s">
        <v>6</v>
      </c>
      <c r="D185" s="20" t="s">
        <v>27</v>
      </c>
      <c r="E185" s="11" t="s">
        <v>1113</v>
      </c>
      <c r="F185" s="11" t="s">
        <v>1114</v>
      </c>
      <c r="G185" s="11" t="s">
        <v>1115</v>
      </c>
      <c r="H185" s="11" t="s">
        <v>1116</v>
      </c>
      <c r="I185" s="11" t="s">
        <v>1117</v>
      </c>
      <c r="J185" s="20" t="s">
        <v>21</v>
      </c>
      <c r="K185" s="20" t="s">
        <v>279</v>
      </c>
      <c r="L185" s="20" t="s">
        <v>118</v>
      </c>
      <c r="M185" s="20"/>
      <c r="N185" s="20"/>
      <c r="O185" s="20"/>
      <c r="P185" s="20"/>
    </row>
    <row r="186" ht="90" customHeight="1" spans="1:16">
      <c r="A186" s="20" t="s">
        <v>1118</v>
      </c>
      <c r="B186" s="20" t="s">
        <v>26</v>
      </c>
      <c r="C186" s="20" t="s">
        <v>6</v>
      </c>
      <c r="D186" s="20" t="s">
        <v>27</v>
      </c>
      <c r="E186" s="11" t="s">
        <v>1119</v>
      </c>
      <c r="F186" s="11" t="s">
        <v>1120</v>
      </c>
      <c r="G186" s="11" t="s">
        <v>1121</v>
      </c>
      <c r="H186" s="11" t="s">
        <v>1088</v>
      </c>
      <c r="I186" s="11" t="s">
        <v>1122</v>
      </c>
      <c r="J186" s="20" t="s">
        <v>21</v>
      </c>
      <c r="K186" s="20" t="s">
        <v>763</v>
      </c>
      <c r="L186" s="20" t="s">
        <v>118</v>
      </c>
      <c r="M186" s="20"/>
      <c r="N186" s="20"/>
      <c r="O186" s="20"/>
      <c r="P186" s="20"/>
    </row>
    <row r="187" ht="90" customHeight="1" spans="1:16">
      <c r="A187" s="20" t="s">
        <v>1123</v>
      </c>
      <c r="B187" s="20" t="s">
        <v>26</v>
      </c>
      <c r="C187" s="20" t="s">
        <v>6</v>
      </c>
      <c r="D187" s="20" t="s">
        <v>27</v>
      </c>
      <c r="E187" s="11" t="s">
        <v>1124</v>
      </c>
      <c r="F187" s="11" t="s">
        <v>1125</v>
      </c>
      <c r="G187" s="11" t="s">
        <v>1126</v>
      </c>
      <c r="H187" s="11" t="s">
        <v>1127</v>
      </c>
      <c r="I187" s="11" t="s">
        <v>1128</v>
      </c>
      <c r="J187" s="20" t="s">
        <v>21</v>
      </c>
      <c r="K187" s="20" t="s">
        <v>186</v>
      </c>
      <c r="L187" s="20" t="s">
        <v>118</v>
      </c>
      <c r="M187" s="20"/>
      <c r="N187" s="20"/>
      <c r="O187" s="20"/>
      <c r="P187" s="20"/>
    </row>
    <row r="188" ht="90" customHeight="1" spans="1:16">
      <c r="A188" s="20" t="s">
        <v>1129</v>
      </c>
      <c r="B188" s="20" t="s">
        <v>26</v>
      </c>
      <c r="C188" s="20" t="s">
        <v>6</v>
      </c>
      <c r="D188" s="20" t="s">
        <v>27</v>
      </c>
      <c r="E188" s="11" t="s">
        <v>1130</v>
      </c>
      <c r="F188" s="11" t="s">
        <v>1131</v>
      </c>
      <c r="G188" s="11" t="s">
        <v>1132</v>
      </c>
      <c r="H188" s="11" t="s">
        <v>1088</v>
      </c>
      <c r="I188" s="11" t="s">
        <v>1133</v>
      </c>
      <c r="J188" s="20" t="s">
        <v>21</v>
      </c>
      <c r="K188" s="20" t="s">
        <v>412</v>
      </c>
      <c r="L188" s="20" t="s">
        <v>118</v>
      </c>
      <c r="M188" s="20"/>
      <c r="N188" s="20"/>
      <c r="O188" s="20"/>
      <c r="P188" s="20"/>
    </row>
    <row r="189" ht="90" customHeight="1" spans="1:16">
      <c r="A189" s="20" t="s">
        <v>1134</v>
      </c>
      <c r="B189" s="20" t="s">
        <v>26</v>
      </c>
      <c r="C189" s="20" t="s">
        <v>6</v>
      </c>
      <c r="D189" s="20" t="s">
        <v>27</v>
      </c>
      <c r="E189" s="11" t="s">
        <v>1135</v>
      </c>
      <c r="F189" s="11" t="s">
        <v>1136</v>
      </c>
      <c r="G189" s="11" t="s">
        <v>1137</v>
      </c>
      <c r="H189" s="11" t="s">
        <v>1138</v>
      </c>
      <c r="I189" s="11" t="s">
        <v>1139</v>
      </c>
      <c r="J189" s="20" t="s">
        <v>21</v>
      </c>
      <c r="K189" s="20" t="s">
        <v>219</v>
      </c>
      <c r="L189" s="20" t="s">
        <v>118</v>
      </c>
      <c r="M189" s="20"/>
      <c r="N189" s="20"/>
      <c r="O189" s="20"/>
      <c r="P189" s="20"/>
    </row>
    <row r="190" ht="90" customHeight="1" spans="1:16">
      <c r="A190" s="20" t="s">
        <v>1140</v>
      </c>
      <c r="B190" s="20" t="s">
        <v>26</v>
      </c>
      <c r="C190" s="20" t="s">
        <v>6</v>
      </c>
      <c r="D190" s="20" t="s">
        <v>27</v>
      </c>
      <c r="E190" s="11" t="s">
        <v>1141</v>
      </c>
      <c r="F190" s="11" t="s">
        <v>1142</v>
      </c>
      <c r="G190" s="11" t="s">
        <v>1143</v>
      </c>
      <c r="H190" s="11" t="s">
        <v>211</v>
      </c>
      <c r="I190" s="11" t="s">
        <v>1144</v>
      </c>
      <c r="J190" s="20" t="s">
        <v>21</v>
      </c>
      <c r="K190" s="20" t="s">
        <v>279</v>
      </c>
      <c r="L190" s="20" t="s">
        <v>118</v>
      </c>
      <c r="M190" s="20"/>
      <c r="N190" s="20"/>
      <c r="O190" s="20"/>
      <c r="P190" s="20"/>
    </row>
    <row r="191" ht="90" customHeight="1" spans="1:16">
      <c r="A191" s="20" t="s">
        <v>1145</v>
      </c>
      <c r="B191" s="20" t="s">
        <v>26</v>
      </c>
      <c r="C191" s="20" t="s">
        <v>6</v>
      </c>
      <c r="D191" s="20" t="s">
        <v>27</v>
      </c>
      <c r="E191" s="11" t="s">
        <v>1146</v>
      </c>
      <c r="F191" s="11" t="s">
        <v>1147</v>
      </c>
      <c r="G191" s="11" t="s">
        <v>1148</v>
      </c>
      <c r="H191" s="11" t="s">
        <v>1116</v>
      </c>
      <c r="I191" s="11" t="s">
        <v>1149</v>
      </c>
      <c r="J191" s="20" t="s">
        <v>21</v>
      </c>
      <c r="K191" s="20" t="s">
        <v>279</v>
      </c>
      <c r="L191" s="20" t="s">
        <v>118</v>
      </c>
      <c r="M191" s="20"/>
      <c r="N191" s="20"/>
      <c r="O191" s="20"/>
      <c r="P191" s="20"/>
    </row>
    <row r="192" ht="90" customHeight="1" spans="1:16">
      <c r="A192" s="20" t="s">
        <v>1150</v>
      </c>
      <c r="B192" s="20" t="s">
        <v>26</v>
      </c>
      <c r="C192" s="20" t="s">
        <v>6</v>
      </c>
      <c r="D192" s="20" t="s">
        <v>27</v>
      </c>
      <c r="E192" s="11" t="s">
        <v>1151</v>
      </c>
      <c r="F192" s="11" t="s">
        <v>1152</v>
      </c>
      <c r="G192" s="11" t="s">
        <v>1153</v>
      </c>
      <c r="H192" s="11" t="s">
        <v>211</v>
      </c>
      <c r="I192" s="11" t="s">
        <v>1154</v>
      </c>
      <c r="J192" s="20" t="s">
        <v>21</v>
      </c>
      <c r="K192" s="20" t="s">
        <v>740</v>
      </c>
      <c r="L192" s="20" t="s">
        <v>118</v>
      </c>
      <c r="M192" s="20"/>
      <c r="N192" s="20"/>
      <c r="O192" s="20"/>
      <c r="P192" s="20"/>
    </row>
    <row r="193" ht="90" customHeight="1" spans="1:16">
      <c r="A193" s="20" t="s">
        <v>1155</v>
      </c>
      <c r="B193" s="20" t="s">
        <v>26</v>
      </c>
      <c r="C193" s="20" t="s">
        <v>6</v>
      </c>
      <c r="D193" s="20" t="s">
        <v>27</v>
      </c>
      <c r="E193" s="11" t="s">
        <v>1156</v>
      </c>
      <c r="F193" s="11" t="s">
        <v>1157</v>
      </c>
      <c r="G193" s="11" t="s">
        <v>1158</v>
      </c>
      <c r="H193" s="11" t="s">
        <v>1159</v>
      </c>
      <c r="I193" s="11" t="s">
        <v>1160</v>
      </c>
      <c r="J193" s="20" t="s">
        <v>21</v>
      </c>
      <c r="K193" s="20" t="s">
        <v>412</v>
      </c>
      <c r="L193" s="20" t="s">
        <v>118</v>
      </c>
      <c r="M193" s="20"/>
      <c r="N193" s="20"/>
      <c r="O193" s="20"/>
      <c r="P193" s="20"/>
    </row>
    <row r="194" ht="90" customHeight="1" spans="1:16">
      <c r="A194" s="20" t="s">
        <v>1161</v>
      </c>
      <c r="B194" s="20" t="s">
        <v>26</v>
      </c>
      <c r="C194" s="20" t="s">
        <v>6</v>
      </c>
      <c r="D194" s="20" t="s">
        <v>27</v>
      </c>
      <c r="E194" s="11" t="s">
        <v>1162</v>
      </c>
      <c r="F194" s="11" t="s">
        <v>1163</v>
      </c>
      <c r="G194" s="11" t="s">
        <v>1164</v>
      </c>
      <c r="H194" s="11" t="s">
        <v>1165</v>
      </c>
      <c r="I194" s="11" t="s">
        <v>1166</v>
      </c>
      <c r="J194" s="20" t="s">
        <v>21</v>
      </c>
      <c r="K194" s="20" t="s">
        <v>57</v>
      </c>
      <c r="L194" s="20" t="s">
        <v>118</v>
      </c>
      <c r="M194" s="20"/>
      <c r="N194" s="20"/>
      <c r="O194" s="20"/>
      <c r="P194" s="20"/>
    </row>
    <row r="195" ht="90" customHeight="1" spans="1:16">
      <c r="A195" s="20" t="s">
        <v>1167</v>
      </c>
      <c r="B195" s="20" t="s">
        <v>26</v>
      </c>
      <c r="C195" s="20" t="s">
        <v>6</v>
      </c>
      <c r="D195" s="20" t="s">
        <v>27</v>
      </c>
      <c r="E195" s="11" t="s">
        <v>1168</v>
      </c>
      <c r="F195" s="11" t="s">
        <v>1169</v>
      </c>
      <c r="G195" s="11" t="s">
        <v>1170</v>
      </c>
      <c r="H195" s="11" t="s">
        <v>211</v>
      </c>
      <c r="I195" s="11" t="s">
        <v>1171</v>
      </c>
      <c r="J195" s="20" t="s">
        <v>21</v>
      </c>
      <c r="K195" s="20" t="s">
        <v>213</v>
      </c>
      <c r="L195" s="20" t="s">
        <v>118</v>
      </c>
      <c r="M195" s="20"/>
      <c r="N195" s="20"/>
      <c r="O195" s="20"/>
      <c r="P195" s="20"/>
    </row>
    <row r="196" ht="90" customHeight="1" spans="1:16">
      <c r="A196" s="20" t="s">
        <v>1172</v>
      </c>
      <c r="B196" s="20" t="s">
        <v>26</v>
      </c>
      <c r="C196" s="20" t="s">
        <v>6</v>
      </c>
      <c r="D196" s="20" t="s">
        <v>27</v>
      </c>
      <c r="E196" s="11" t="s">
        <v>1173</v>
      </c>
      <c r="F196" s="11" t="s">
        <v>1174</v>
      </c>
      <c r="G196" s="11" t="s">
        <v>1175</v>
      </c>
      <c r="H196" s="11" t="s">
        <v>211</v>
      </c>
      <c r="I196" s="11" t="s">
        <v>1176</v>
      </c>
      <c r="J196" s="20" t="s">
        <v>21</v>
      </c>
      <c r="K196" s="20" t="s">
        <v>1177</v>
      </c>
      <c r="L196" s="20" t="s">
        <v>118</v>
      </c>
      <c r="M196" s="20"/>
      <c r="N196" s="20"/>
      <c r="O196" s="20"/>
      <c r="P196" s="20"/>
    </row>
    <row r="197" ht="90" customHeight="1" spans="1:16">
      <c r="A197" s="20" t="s">
        <v>1178</v>
      </c>
      <c r="B197" s="20" t="s">
        <v>26</v>
      </c>
      <c r="C197" s="20" t="s">
        <v>6</v>
      </c>
      <c r="D197" s="20" t="s">
        <v>27</v>
      </c>
      <c r="E197" s="11" t="s">
        <v>1179</v>
      </c>
      <c r="F197" s="11" t="s">
        <v>1180</v>
      </c>
      <c r="G197" s="11" t="s">
        <v>1181</v>
      </c>
      <c r="H197" s="11" t="s">
        <v>1182</v>
      </c>
      <c r="I197" s="11" t="s">
        <v>1183</v>
      </c>
      <c r="J197" s="20" t="s">
        <v>21</v>
      </c>
      <c r="K197" s="20" t="s">
        <v>117</v>
      </c>
      <c r="L197" s="20" t="s">
        <v>118</v>
      </c>
      <c r="M197" s="20"/>
      <c r="N197" s="20"/>
      <c r="O197" s="20"/>
      <c r="P197" s="20"/>
    </row>
    <row r="198" ht="90" customHeight="1" spans="1:16">
      <c r="A198" s="20" t="s">
        <v>1184</v>
      </c>
      <c r="B198" s="20" t="s">
        <v>26</v>
      </c>
      <c r="C198" s="20" t="s">
        <v>6</v>
      </c>
      <c r="D198" s="20" t="s">
        <v>27</v>
      </c>
      <c r="E198" s="11" t="s">
        <v>1185</v>
      </c>
      <c r="F198" s="11" t="s">
        <v>1186</v>
      </c>
      <c r="G198" s="11" t="s">
        <v>1187</v>
      </c>
      <c r="H198" s="11" t="s">
        <v>1188</v>
      </c>
      <c r="I198" s="11" t="s">
        <v>1189</v>
      </c>
      <c r="J198" s="20" t="s">
        <v>21</v>
      </c>
      <c r="K198" s="20" t="s">
        <v>186</v>
      </c>
      <c r="L198" s="20" t="s">
        <v>118</v>
      </c>
      <c r="M198" s="20"/>
      <c r="N198" s="20"/>
      <c r="O198" s="20"/>
      <c r="P198" s="20"/>
    </row>
    <row r="199" ht="90" customHeight="1" spans="1:16">
      <c r="A199" s="20" t="s">
        <v>1190</v>
      </c>
      <c r="B199" s="20" t="s">
        <v>26</v>
      </c>
      <c r="C199" s="20" t="s">
        <v>6</v>
      </c>
      <c r="D199" s="20" t="s">
        <v>27</v>
      </c>
      <c r="E199" s="11" t="s">
        <v>1191</v>
      </c>
      <c r="F199" s="11" t="s">
        <v>1192</v>
      </c>
      <c r="G199" s="11" t="s">
        <v>1193</v>
      </c>
      <c r="H199" s="11" t="s">
        <v>812</v>
      </c>
      <c r="I199" s="11" t="s">
        <v>1194</v>
      </c>
      <c r="J199" s="20" t="s">
        <v>21</v>
      </c>
      <c r="K199" s="20" t="s">
        <v>814</v>
      </c>
      <c r="L199" s="20" t="s">
        <v>118</v>
      </c>
      <c r="M199" s="20"/>
      <c r="N199" s="20"/>
      <c r="O199" s="20"/>
      <c r="P199" s="20"/>
    </row>
    <row r="200" ht="90" customHeight="1" spans="1:16">
      <c r="A200" s="20" t="s">
        <v>1195</v>
      </c>
      <c r="B200" s="20" t="s">
        <v>26</v>
      </c>
      <c r="C200" s="20" t="s">
        <v>6</v>
      </c>
      <c r="D200" s="20" t="s">
        <v>27</v>
      </c>
      <c r="E200" s="11" t="s">
        <v>1196</v>
      </c>
      <c r="F200" s="11" t="s">
        <v>1197</v>
      </c>
      <c r="G200" s="11" t="s">
        <v>1198</v>
      </c>
      <c r="H200" s="11" t="s">
        <v>1199</v>
      </c>
      <c r="I200" s="11" t="s">
        <v>1200</v>
      </c>
      <c r="J200" s="20" t="s">
        <v>21</v>
      </c>
      <c r="K200" s="20" t="s">
        <v>219</v>
      </c>
      <c r="L200" s="20" t="s">
        <v>118</v>
      </c>
      <c r="M200" s="20"/>
      <c r="N200" s="20"/>
      <c r="O200" s="20"/>
      <c r="P200" s="20"/>
    </row>
    <row r="201" ht="90" customHeight="1" spans="1:16">
      <c r="A201" s="20" t="s">
        <v>1201</v>
      </c>
      <c r="B201" s="20" t="s">
        <v>28</v>
      </c>
      <c r="C201" s="20" t="s">
        <v>6</v>
      </c>
      <c r="D201" s="20" t="s">
        <v>29</v>
      </c>
      <c r="E201" s="11" t="s">
        <v>1202</v>
      </c>
      <c r="F201" s="11" t="s">
        <v>1203</v>
      </c>
      <c r="G201" s="11" t="s">
        <v>1204</v>
      </c>
      <c r="H201" s="11" t="s">
        <v>1205</v>
      </c>
      <c r="I201" s="11" t="s">
        <v>1206</v>
      </c>
      <c r="J201" s="20" t="s">
        <v>18</v>
      </c>
      <c r="K201" s="20" t="s">
        <v>57</v>
      </c>
      <c r="L201" s="20" t="s">
        <v>58</v>
      </c>
      <c r="M201" s="20" t="s">
        <v>1207</v>
      </c>
      <c r="N201" s="20"/>
      <c r="O201" s="20" t="s">
        <v>206</v>
      </c>
      <c r="P201" s="20" t="s">
        <v>1208</v>
      </c>
    </row>
    <row r="202" ht="90" customHeight="1" spans="1:16">
      <c r="A202" s="20" t="s">
        <v>1209</v>
      </c>
      <c r="B202" s="20" t="s">
        <v>28</v>
      </c>
      <c r="C202" s="20" t="s">
        <v>6</v>
      </c>
      <c r="D202" s="20" t="s">
        <v>29</v>
      </c>
      <c r="E202" s="11" t="s">
        <v>1210</v>
      </c>
      <c r="F202" s="11" t="s">
        <v>1211</v>
      </c>
      <c r="G202" s="11" t="s">
        <v>1212</v>
      </c>
      <c r="H202" s="11" t="s">
        <v>1213</v>
      </c>
      <c r="I202" s="11" t="s">
        <v>1214</v>
      </c>
      <c r="J202" s="20" t="s">
        <v>18</v>
      </c>
      <c r="K202" s="20" t="s">
        <v>279</v>
      </c>
      <c r="L202" s="20" t="s">
        <v>118</v>
      </c>
      <c r="M202" s="20"/>
      <c r="N202" s="20"/>
      <c r="O202" s="20"/>
      <c r="P202" s="20"/>
    </row>
    <row r="203" ht="90" customHeight="1" spans="1:16">
      <c r="A203" s="20" t="s">
        <v>1215</v>
      </c>
      <c r="B203" s="20" t="s">
        <v>28</v>
      </c>
      <c r="C203" s="20" t="s">
        <v>6</v>
      </c>
      <c r="D203" s="20" t="s">
        <v>29</v>
      </c>
      <c r="E203" s="11" t="s">
        <v>1216</v>
      </c>
      <c r="F203" s="11" t="s">
        <v>1217</v>
      </c>
      <c r="G203" s="11" t="s">
        <v>1218</v>
      </c>
      <c r="H203" s="11" t="s">
        <v>1219</v>
      </c>
      <c r="I203" s="11" t="s">
        <v>1220</v>
      </c>
      <c r="J203" s="20" t="s">
        <v>18</v>
      </c>
      <c r="K203" s="20" t="s">
        <v>107</v>
      </c>
      <c r="L203" s="20" t="s">
        <v>118</v>
      </c>
      <c r="M203" s="20"/>
      <c r="N203" s="20"/>
      <c r="O203" s="20"/>
      <c r="P203" s="20"/>
    </row>
    <row r="204" ht="90" customHeight="1" spans="1:16">
      <c r="A204" s="20" t="s">
        <v>1221</v>
      </c>
      <c r="B204" s="20" t="s">
        <v>28</v>
      </c>
      <c r="C204" s="20" t="s">
        <v>6</v>
      </c>
      <c r="D204" s="20" t="s">
        <v>29</v>
      </c>
      <c r="E204" s="11" t="s">
        <v>1222</v>
      </c>
      <c r="F204" s="11" t="s">
        <v>1211</v>
      </c>
      <c r="G204" s="11" t="s">
        <v>1223</v>
      </c>
      <c r="H204" s="11" t="s">
        <v>1224</v>
      </c>
      <c r="I204" s="11" t="s">
        <v>1225</v>
      </c>
      <c r="J204" s="20" t="s">
        <v>18</v>
      </c>
      <c r="K204" s="20" t="s">
        <v>186</v>
      </c>
      <c r="L204" s="20" t="s">
        <v>118</v>
      </c>
      <c r="M204" s="20"/>
      <c r="N204" s="20"/>
      <c r="O204" s="20"/>
      <c r="P204" s="20"/>
    </row>
    <row r="205" ht="90" customHeight="1" spans="1:16">
      <c r="A205" s="20" t="s">
        <v>1226</v>
      </c>
      <c r="B205" s="20" t="s">
        <v>28</v>
      </c>
      <c r="C205" s="20" t="s">
        <v>6</v>
      </c>
      <c r="D205" s="20" t="s">
        <v>29</v>
      </c>
      <c r="E205" s="11" t="s">
        <v>1227</v>
      </c>
      <c r="F205" s="11" t="s">
        <v>1228</v>
      </c>
      <c r="G205" s="11" t="s">
        <v>1229</v>
      </c>
      <c r="H205" s="11" t="s">
        <v>1230</v>
      </c>
      <c r="I205" s="11" t="s">
        <v>1231</v>
      </c>
      <c r="J205" s="20" t="s">
        <v>18</v>
      </c>
      <c r="K205" s="20" t="s">
        <v>936</v>
      </c>
      <c r="L205" s="20" t="s">
        <v>118</v>
      </c>
      <c r="M205" s="20"/>
      <c r="N205" s="20"/>
      <c r="O205" s="20"/>
      <c r="P205" s="20"/>
    </row>
    <row r="206" ht="90" customHeight="1" spans="1:16">
      <c r="A206" s="20" t="s">
        <v>1232</v>
      </c>
      <c r="B206" s="20" t="s">
        <v>28</v>
      </c>
      <c r="C206" s="20" t="s">
        <v>6</v>
      </c>
      <c r="D206" s="20" t="s">
        <v>29</v>
      </c>
      <c r="E206" s="11" t="s">
        <v>1233</v>
      </c>
      <c r="F206" s="11" t="s">
        <v>1234</v>
      </c>
      <c r="G206" s="11" t="s">
        <v>1235</v>
      </c>
      <c r="H206" s="11" t="s">
        <v>1236</v>
      </c>
      <c r="I206" s="11" t="s">
        <v>1237</v>
      </c>
      <c r="J206" s="20" t="s">
        <v>18</v>
      </c>
      <c r="K206" s="20" t="s">
        <v>57</v>
      </c>
      <c r="L206" s="20" t="s">
        <v>118</v>
      </c>
      <c r="M206" s="20"/>
      <c r="N206" s="20"/>
      <c r="O206" s="20"/>
      <c r="P206" s="20"/>
    </row>
    <row r="207" ht="90" customHeight="1" spans="1:16">
      <c r="A207" s="20" t="s">
        <v>1238</v>
      </c>
      <c r="B207" s="20" t="s">
        <v>28</v>
      </c>
      <c r="C207" s="20" t="s">
        <v>6</v>
      </c>
      <c r="D207" s="20" t="s">
        <v>29</v>
      </c>
      <c r="E207" s="11" t="s">
        <v>1239</v>
      </c>
      <c r="F207" s="11" t="s">
        <v>1234</v>
      </c>
      <c r="G207" s="11" t="s">
        <v>1240</v>
      </c>
      <c r="H207" s="11" t="s">
        <v>1241</v>
      </c>
      <c r="I207" s="11" t="s">
        <v>1242</v>
      </c>
      <c r="J207" s="20" t="s">
        <v>18</v>
      </c>
      <c r="K207" s="20" t="s">
        <v>279</v>
      </c>
      <c r="L207" s="20" t="s">
        <v>118</v>
      </c>
      <c r="M207" s="20"/>
      <c r="N207" s="20"/>
      <c r="O207" s="20"/>
      <c r="P207" s="20"/>
    </row>
    <row r="208" ht="90" customHeight="1" spans="1:16">
      <c r="A208" s="20" t="s">
        <v>1243</v>
      </c>
      <c r="B208" s="20" t="s">
        <v>28</v>
      </c>
      <c r="C208" s="20" t="s">
        <v>6</v>
      </c>
      <c r="D208" s="20" t="s">
        <v>29</v>
      </c>
      <c r="E208" s="11" t="s">
        <v>1244</v>
      </c>
      <c r="F208" s="11" t="s">
        <v>1245</v>
      </c>
      <c r="G208" s="11" t="s">
        <v>1246</v>
      </c>
      <c r="H208" s="11" t="s">
        <v>1247</v>
      </c>
      <c r="I208" s="11" t="s">
        <v>1248</v>
      </c>
      <c r="J208" s="20" t="s">
        <v>18</v>
      </c>
      <c r="K208" s="20" t="s">
        <v>740</v>
      </c>
      <c r="L208" s="20" t="s">
        <v>118</v>
      </c>
      <c r="M208" s="20"/>
      <c r="N208" s="20"/>
      <c r="O208" s="20"/>
      <c r="P208" s="20"/>
    </row>
    <row r="209" ht="90" customHeight="1" spans="1:16">
      <c r="A209" s="20" t="s">
        <v>1249</v>
      </c>
      <c r="B209" s="20" t="s">
        <v>28</v>
      </c>
      <c r="C209" s="20" t="s">
        <v>6</v>
      </c>
      <c r="D209" s="20" t="s">
        <v>29</v>
      </c>
      <c r="E209" s="11" t="s">
        <v>1250</v>
      </c>
      <c r="F209" s="11" t="s">
        <v>1251</v>
      </c>
      <c r="G209" s="11" t="s">
        <v>1252</v>
      </c>
      <c r="H209" s="11" t="s">
        <v>1253</v>
      </c>
      <c r="I209" s="11" t="s">
        <v>1254</v>
      </c>
      <c r="J209" s="20" t="s">
        <v>18</v>
      </c>
      <c r="K209" s="20" t="s">
        <v>740</v>
      </c>
      <c r="L209" s="20" t="s">
        <v>118</v>
      </c>
      <c r="M209" s="20"/>
      <c r="N209" s="20"/>
      <c r="O209" s="20"/>
      <c r="P209" s="20"/>
    </row>
    <row r="210" ht="90" customHeight="1" spans="1:16">
      <c r="A210" s="20" t="s">
        <v>1255</v>
      </c>
      <c r="B210" s="20" t="s">
        <v>28</v>
      </c>
      <c r="C210" s="20" t="s">
        <v>6</v>
      </c>
      <c r="D210" s="20" t="s">
        <v>29</v>
      </c>
      <c r="E210" s="11" t="s">
        <v>1256</v>
      </c>
      <c r="F210" s="11" t="s">
        <v>1257</v>
      </c>
      <c r="G210" s="11" t="s">
        <v>1258</v>
      </c>
      <c r="H210" s="11" t="s">
        <v>1259</v>
      </c>
      <c r="I210" s="11" t="s">
        <v>1260</v>
      </c>
      <c r="J210" s="20" t="s">
        <v>18</v>
      </c>
      <c r="K210" s="20" t="s">
        <v>740</v>
      </c>
      <c r="L210" s="20" t="s">
        <v>118</v>
      </c>
      <c r="M210" s="20"/>
      <c r="N210" s="20"/>
      <c r="O210" s="20"/>
      <c r="P210" s="20"/>
    </row>
    <row r="211" ht="90" customHeight="1" spans="1:16">
      <c r="A211" s="20" t="s">
        <v>1261</v>
      </c>
      <c r="B211" s="20" t="s">
        <v>28</v>
      </c>
      <c r="C211" s="20" t="s">
        <v>6</v>
      </c>
      <c r="D211" s="20" t="s">
        <v>29</v>
      </c>
      <c r="E211" s="11" t="s">
        <v>1262</v>
      </c>
      <c r="F211" s="11" t="s">
        <v>1263</v>
      </c>
      <c r="G211" s="11" t="s">
        <v>1264</v>
      </c>
      <c r="H211" s="11" t="s">
        <v>1265</v>
      </c>
      <c r="I211" s="11" t="s">
        <v>1266</v>
      </c>
      <c r="J211" s="20" t="s">
        <v>18</v>
      </c>
      <c r="K211" s="20" t="s">
        <v>740</v>
      </c>
      <c r="L211" s="20" t="s">
        <v>58</v>
      </c>
      <c r="M211" s="20" t="s">
        <v>1267</v>
      </c>
      <c r="N211" s="20"/>
      <c r="O211" s="20" t="s">
        <v>60</v>
      </c>
      <c r="P211" s="20" t="s">
        <v>1208</v>
      </c>
    </row>
    <row r="212" ht="90" customHeight="1" spans="1:16">
      <c r="A212" s="20" t="s">
        <v>1268</v>
      </c>
      <c r="B212" s="20" t="s">
        <v>28</v>
      </c>
      <c r="C212" s="20" t="s">
        <v>6</v>
      </c>
      <c r="D212" s="20" t="s">
        <v>29</v>
      </c>
      <c r="E212" s="11" t="s">
        <v>1269</v>
      </c>
      <c r="F212" s="11" t="s">
        <v>1270</v>
      </c>
      <c r="G212" s="11" t="s">
        <v>1271</v>
      </c>
      <c r="H212" s="11" t="s">
        <v>1272</v>
      </c>
      <c r="I212" s="11" t="s">
        <v>1273</v>
      </c>
      <c r="J212" s="20" t="s">
        <v>18</v>
      </c>
      <c r="K212" s="20" t="s">
        <v>57</v>
      </c>
      <c r="L212" s="20" t="s">
        <v>118</v>
      </c>
      <c r="M212" s="20"/>
      <c r="N212" s="20"/>
      <c r="O212" s="20"/>
      <c r="P212" s="20"/>
    </row>
    <row r="213" ht="90" customHeight="1" spans="1:16">
      <c r="A213" s="20" t="s">
        <v>1274</v>
      </c>
      <c r="B213" s="20" t="s">
        <v>28</v>
      </c>
      <c r="C213" s="20" t="s">
        <v>6</v>
      </c>
      <c r="D213" s="20" t="s">
        <v>29</v>
      </c>
      <c r="E213" s="11" t="s">
        <v>1275</v>
      </c>
      <c r="F213" s="11" t="s">
        <v>1276</v>
      </c>
      <c r="G213" s="11" t="s">
        <v>1277</v>
      </c>
      <c r="H213" s="11" t="s">
        <v>1278</v>
      </c>
      <c r="I213" s="11" t="s">
        <v>1279</v>
      </c>
      <c r="J213" s="20" t="s">
        <v>18</v>
      </c>
      <c r="K213" s="20" t="s">
        <v>107</v>
      </c>
      <c r="L213" s="20" t="s">
        <v>118</v>
      </c>
      <c r="M213" s="20"/>
      <c r="N213" s="20"/>
      <c r="O213" s="20"/>
      <c r="P213" s="20"/>
    </row>
    <row r="214" ht="90" customHeight="1" spans="1:16">
      <c r="A214" s="20" t="s">
        <v>1280</v>
      </c>
      <c r="B214" s="20" t="s">
        <v>28</v>
      </c>
      <c r="C214" s="20" t="s">
        <v>6</v>
      </c>
      <c r="D214" s="20" t="s">
        <v>29</v>
      </c>
      <c r="E214" s="11" t="s">
        <v>1281</v>
      </c>
      <c r="F214" s="11" t="s">
        <v>1282</v>
      </c>
      <c r="G214" s="11" t="s">
        <v>1283</v>
      </c>
      <c r="H214" s="11" t="s">
        <v>1284</v>
      </c>
      <c r="I214" s="11" t="s">
        <v>1285</v>
      </c>
      <c r="J214" s="20" t="s">
        <v>18</v>
      </c>
      <c r="K214" s="20" t="s">
        <v>186</v>
      </c>
      <c r="L214" s="20" t="s">
        <v>118</v>
      </c>
      <c r="M214" s="20"/>
      <c r="N214" s="20"/>
      <c r="O214" s="20"/>
      <c r="P214" s="20"/>
    </row>
    <row r="215" ht="90" customHeight="1" spans="1:16">
      <c r="A215" s="20" t="s">
        <v>1286</v>
      </c>
      <c r="B215" s="20" t="s">
        <v>28</v>
      </c>
      <c r="C215" s="20" t="s">
        <v>6</v>
      </c>
      <c r="D215" s="20" t="s">
        <v>29</v>
      </c>
      <c r="E215" s="11" t="s">
        <v>1287</v>
      </c>
      <c r="F215" s="11" t="s">
        <v>1288</v>
      </c>
      <c r="G215" s="11" t="s">
        <v>1289</v>
      </c>
      <c r="H215" s="11" t="s">
        <v>1290</v>
      </c>
      <c r="I215" s="11" t="s">
        <v>1291</v>
      </c>
      <c r="J215" s="20" t="s">
        <v>18</v>
      </c>
      <c r="K215" s="20" t="s">
        <v>279</v>
      </c>
      <c r="L215" s="20" t="s">
        <v>118</v>
      </c>
      <c r="M215" s="20"/>
      <c r="N215" s="20"/>
      <c r="O215" s="20"/>
      <c r="P215" s="20"/>
    </row>
    <row r="216" ht="90" customHeight="1" spans="1:16">
      <c r="A216" s="20" t="s">
        <v>1292</v>
      </c>
      <c r="B216" s="20" t="s">
        <v>28</v>
      </c>
      <c r="C216" s="20" t="s">
        <v>6</v>
      </c>
      <c r="D216" s="20" t="s">
        <v>29</v>
      </c>
      <c r="E216" s="11" t="s">
        <v>1293</v>
      </c>
      <c r="F216" s="11" t="s">
        <v>1294</v>
      </c>
      <c r="G216" s="11" t="s">
        <v>1295</v>
      </c>
      <c r="H216" s="11" t="s">
        <v>1296</v>
      </c>
      <c r="I216" s="11" t="s">
        <v>1297</v>
      </c>
      <c r="J216" s="20" t="s">
        <v>18</v>
      </c>
      <c r="K216" s="20" t="s">
        <v>740</v>
      </c>
      <c r="L216" s="20" t="s">
        <v>118</v>
      </c>
      <c r="M216" s="20"/>
      <c r="N216" s="20"/>
      <c r="O216" s="20"/>
      <c r="P216" s="20"/>
    </row>
    <row r="217" ht="90" customHeight="1" spans="1:16">
      <c r="A217" s="20" t="s">
        <v>1298</v>
      </c>
      <c r="B217" s="20" t="s">
        <v>28</v>
      </c>
      <c r="C217" s="20" t="s">
        <v>6</v>
      </c>
      <c r="D217" s="20" t="s">
        <v>29</v>
      </c>
      <c r="E217" s="11" t="s">
        <v>1299</v>
      </c>
      <c r="F217" s="11" t="s">
        <v>1300</v>
      </c>
      <c r="G217" s="11" t="s">
        <v>1301</v>
      </c>
      <c r="H217" s="11" t="s">
        <v>1302</v>
      </c>
      <c r="I217" s="11" t="s">
        <v>1303</v>
      </c>
      <c r="J217" s="20" t="s">
        <v>18</v>
      </c>
      <c r="K217" s="20" t="s">
        <v>219</v>
      </c>
      <c r="L217" s="20" t="s">
        <v>118</v>
      </c>
      <c r="M217" s="20"/>
      <c r="N217" s="20"/>
      <c r="O217" s="20"/>
      <c r="P217" s="20"/>
    </row>
    <row r="218" ht="90" customHeight="1" spans="1:16">
      <c r="A218" s="20" t="s">
        <v>1304</v>
      </c>
      <c r="B218" s="20" t="s">
        <v>28</v>
      </c>
      <c r="C218" s="20" t="s">
        <v>6</v>
      </c>
      <c r="D218" s="20" t="s">
        <v>29</v>
      </c>
      <c r="E218" s="11" t="s">
        <v>1305</v>
      </c>
      <c r="F218" s="11" t="s">
        <v>1306</v>
      </c>
      <c r="G218" s="11" t="s">
        <v>1307</v>
      </c>
      <c r="H218" s="11" t="s">
        <v>1236</v>
      </c>
      <c r="I218" s="11" t="s">
        <v>1308</v>
      </c>
      <c r="J218" s="20" t="s">
        <v>18</v>
      </c>
      <c r="K218" s="20" t="s">
        <v>412</v>
      </c>
      <c r="L218" s="20" t="s">
        <v>118</v>
      </c>
      <c r="M218" s="20"/>
      <c r="N218" s="20"/>
      <c r="O218" s="20"/>
      <c r="P218" s="20"/>
    </row>
    <row r="219" ht="90" customHeight="1" spans="1:16">
      <c r="A219" s="20" t="s">
        <v>1309</v>
      </c>
      <c r="B219" s="20" t="s">
        <v>28</v>
      </c>
      <c r="C219" s="20" t="s">
        <v>6</v>
      </c>
      <c r="D219" s="20" t="s">
        <v>29</v>
      </c>
      <c r="E219" s="11" t="s">
        <v>1310</v>
      </c>
      <c r="F219" s="11" t="s">
        <v>1311</v>
      </c>
      <c r="G219" s="11" t="s">
        <v>1312</v>
      </c>
      <c r="H219" s="11" t="s">
        <v>1236</v>
      </c>
      <c r="I219" s="11" t="s">
        <v>1313</v>
      </c>
      <c r="J219" s="20" t="s">
        <v>18</v>
      </c>
      <c r="K219" s="20" t="s">
        <v>314</v>
      </c>
      <c r="L219" s="20" t="s">
        <v>118</v>
      </c>
      <c r="M219" s="20"/>
      <c r="N219" s="20"/>
      <c r="O219" s="20"/>
      <c r="P219" s="20"/>
    </row>
    <row r="220" ht="90" customHeight="1" spans="1:16">
      <c r="A220" s="20" t="s">
        <v>1314</v>
      </c>
      <c r="B220" s="20" t="s">
        <v>28</v>
      </c>
      <c r="C220" s="20" t="s">
        <v>6</v>
      </c>
      <c r="D220" s="20" t="s">
        <v>29</v>
      </c>
      <c r="E220" s="11" t="s">
        <v>1315</v>
      </c>
      <c r="F220" s="11" t="s">
        <v>1316</v>
      </c>
      <c r="G220" s="11" t="s">
        <v>1317</v>
      </c>
      <c r="H220" s="11" t="s">
        <v>1318</v>
      </c>
      <c r="I220" s="11" t="s">
        <v>1319</v>
      </c>
      <c r="J220" s="20" t="s">
        <v>18</v>
      </c>
      <c r="K220" s="20" t="s">
        <v>186</v>
      </c>
      <c r="L220" s="20" t="s">
        <v>118</v>
      </c>
      <c r="M220" s="20"/>
      <c r="N220" s="20"/>
      <c r="O220" s="20"/>
      <c r="P220" s="20"/>
    </row>
    <row r="221" ht="90" customHeight="1" spans="1:16">
      <c r="A221" s="20" t="s">
        <v>1320</v>
      </c>
      <c r="B221" s="20" t="s">
        <v>28</v>
      </c>
      <c r="C221" s="20" t="s">
        <v>6</v>
      </c>
      <c r="D221" s="20" t="s">
        <v>29</v>
      </c>
      <c r="E221" s="11" t="s">
        <v>1321</v>
      </c>
      <c r="F221" s="11" t="s">
        <v>1322</v>
      </c>
      <c r="G221" s="11" t="s">
        <v>1323</v>
      </c>
      <c r="H221" s="11" t="s">
        <v>1324</v>
      </c>
      <c r="I221" s="11" t="s">
        <v>1325</v>
      </c>
      <c r="J221" s="20" t="s">
        <v>18</v>
      </c>
      <c r="K221" s="20" t="s">
        <v>186</v>
      </c>
      <c r="L221" s="20" t="s">
        <v>118</v>
      </c>
      <c r="M221" s="20"/>
      <c r="N221" s="20"/>
      <c r="O221" s="20"/>
      <c r="P221" s="20"/>
    </row>
    <row r="222" ht="90" customHeight="1" spans="1:16">
      <c r="A222" s="20" t="s">
        <v>1326</v>
      </c>
      <c r="B222" s="20" t="s">
        <v>28</v>
      </c>
      <c r="C222" s="20" t="s">
        <v>6</v>
      </c>
      <c r="D222" s="20" t="s">
        <v>29</v>
      </c>
      <c r="E222" s="11" t="s">
        <v>1327</v>
      </c>
      <c r="F222" s="11" t="s">
        <v>1328</v>
      </c>
      <c r="G222" s="11" t="s">
        <v>1329</v>
      </c>
      <c r="H222" s="11" t="s">
        <v>1188</v>
      </c>
      <c r="I222" s="11" t="s">
        <v>1330</v>
      </c>
      <c r="J222" s="20" t="s">
        <v>18</v>
      </c>
      <c r="K222" s="20" t="s">
        <v>186</v>
      </c>
      <c r="L222" s="20" t="s">
        <v>118</v>
      </c>
      <c r="M222" s="20"/>
      <c r="N222" s="20"/>
      <c r="O222" s="20"/>
      <c r="P222" s="20"/>
    </row>
    <row r="223" ht="90" customHeight="1" spans="1:16">
      <c r="A223" s="20" t="s">
        <v>1331</v>
      </c>
      <c r="B223" s="20" t="s">
        <v>28</v>
      </c>
      <c r="C223" s="20" t="s">
        <v>6</v>
      </c>
      <c r="D223" s="20" t="s">
        <v>29</v>
      </c>
      <c r="E223" s="11" t="s">
        <v>1332</v>
      </c>
      <c r="F223" s="11" t="s">
        <v>1333</v>
      </c>
      <c r="G223" s="11" t="s">
        <v>1334</v>
      </c>
      <c r="H223" s="11" t="s">
        <v>211</v>
      </c>
      <c r="I223" s="11" t="s">
        <v>1335</v>
      </c>
      <c r="J223" s="20" t="s">
        <v>18</v>
      </c>
      <c r="K223" s="20" t="s">
        <v>213</v>
      </c>
      <c r="L223" s="20" t="s">
        <v>118</v>
      </c>
      <c r="M223" s="20"/>
      <c r="N223" s="20"/>
      <c r="O223" s="20"/>
      <c r="P223" s="20"/>
    </row>
    <row r="224" ht="90" customHeight="1" spans="1:16">
      <c r="A224" s="20" t="s">
        <v>1336</v>
      </c>
      <c r="B224" s="20" t="s">
        <v>28</v>
      </c>
      <c r="C224" s="20" t="s">
        <v>6</v>
      </c>
      <c r="D224" s="20" t="s">
        <v>29</v>
      </c>
      <c r="E224" s="11" t="s">
        <v>1337</v>
      </c>
      <c r="F224" s="11" t="s">
        <v>1338</v>
      </c>
      <c r="G224" s="11" t="s">
        <v>1339</v>
      </c>
      <c r="H224" s="11" t="s">
        <v>211</v>
      </c>
      <c r="I224" s="11" t="s">
        <v>1340</v>
      </c>
      <c r="J224" s="20" t="s">
        <v>18</v>
      </c>
      <c r="K224" s="20" t="s">
        <v>213</v>
      </c>
      <c r="L224" s="20" t="s">
        <v>118</v>
      </c>
      <c r="M224" s="20"/>
      <c r="N224" s="20"/>
      <c r="O224" s="20"/>
      <c r="P224" s="20"/>
    </row>
    <row r="225" ht="90" customHeight="1" spans="1:16">
      <c r="A225" s="20" t="s">
        <v>1341</v>
      </c>
      <c r="B225" s="20" t="s">
        <v>28</v>
      </c>
      <c r="C225" s="20" t="s">
        <v>6</v>
      </c>
      <c r="D225" s="20" t="s">
        <v>29</v>
      </c>
      <c r="E225" s="11" t="s">
        <v>1342</v>
      </c>
      <c r="F225" s="11" t="s">
        <v>1343</v>
      </c>
      <c r="G225" s="11" t="s">
        <v>1344</v>
      </c>
      <c r="H225" s="11" t="s">
        <v>1345</v>
      </c>
      <c r="I225" s="11" t="s">
        <v>1346</v>
      </c>
      <c r="J225" s="20" t="s">
        <v>18</v>
      </c>
      <c r="K225" s="20" t="s">
        <v>219</v>
      </c>
      <c r="L225" s="20" t="s">
        <v>118</v>
      </c>
      <c r="M225" s="20"/>
      <c r="N225" s="20"/>
      <c r="O225" s="20"/>
      <c r="P225" s="20"/>
    </row>
    <row r="226" ht="90" customHeight="1" spans="1:16">
      <c r="A226" s="20" t="s">
        <v>1347</v>
      </c>
      <c r="B226" s="20" t="s">
        <v>28</v>
      </c>
      <c r="C226" s="20" t="s">
        <v>6</v>
      </c>
      <c r="D226" s="20" t="s">
        <v>29</v>
      </c>
      <c r="E226" s="11" t="s">
        <v>1348</v>
      </c>
      <c r="F226" s="11" t="s">
        <v>1228</v>
      </c>
      <c r="G226" s="11" t="s">
        <v>1349</v>
      </c>
      <c r="H226" s="11" t="s">
        <v>1077</v>
      </c>
      <c r="I226" s="11" t="s">
        <v>1350</v>
      </c>
      <c r="J226" s="20" t="s">
        <v>18</v>
      </c>
      <c r="K226" s="20" t="s">
        <v>213</v>
      </c>
      <c r="L226" s="20" t="s">
        <v>108</v>
      </c>
      <c r="M226" s="20" t="s">
        <v>1351</v>
      </c>
      <c r="N226" s="20" t="s">
        <v>1352</v>
      </c>
      <c r="O226" s="20" t="s">
        <v>70</v>
      </c>
      <c r="P226" s="20" t="s">
        <v>1208</v>
      </c>
    </row>
    <row r="227" ht="90" customHeight="1" spans="1:16">
      <c r="A227" s="20" t="s">
        <v>1353</v>
      </c>
      <c r="B227" s="20" t="s">
        <v>28</v>
      </c>
      <c r="C227" s="20" t="s">
        <v>6</v>
      </c>
      <c r="D227" s="20" t="s">
        <v>29</v>
      </c>
      <c r="E227" s="11" t="s">
        <v>1354</v>
      </c>
      <c r="F227" s="11" t="s">
        <v>1355</v>
      </c>
      <c r="G227" s="11" t="s">
        <v>1356</v>
      </c>
      <c r="H227" s="11" t="s">
        <v>1357</v>
      </c>
      <c r="I227" s="11" t="s">
        <v>1358</v>
      </c>
      <c r="J227" s="20" t="s">
        <v>18</v>
      </c>
      <c r="K227" s="20" t="s">
        <v>412</v>
      </c>
      <c r="L227" s="20" t="s">
        <v>118</v>
      </c>
      <c r="M227" s="20"/>
      <c r="N227" s="20"/>
      <c r="O227" s="20"/>
      <c r="P227" s="20"/>
    </row>
    <row r="228" ht="90" customHeight="1" spans="1:16">
      <c r="A228" s="20" t="s">
        <v>1359</v>
      </c>
      <c r="B228" s="20" t="s">
        <v>28</v>
      </c>
      <c r="C228" s="20" t="s">
        <v>6</v>
      </c>
      <c r="D228" s="20" t="s">
        <v>29</v>
      </c>
      <c r="E228" s="11" t="s">
        <v>1360</v>
      </c>
      <c r="F228" s="11" t="s">
        <v>1361</v>
      </c>
      <c r="G228" s="11" t="s">
        <v>1362</v>
      </c>
      <c r="H228" s="11" t="s">
        <v>1363</v>
      </c>
      <c r="I228" s="11" t="s">
        <v>1364</v>
      </c>
      <c r="J228" s="20" t="s">
        <v>18</v>
      </c>
      <c r="K228" s="20" t="s">
        <v>117</v>
      </c>
      <c r="L228" s="20" t="s">
        <v>118</v>
      </c>
      <c r="M228" s="20"/>
      <c r="N228" s="20"/>
      <c r="O228" s="20"/>
      <c r="P228" s="20"/>
    </row>
    <row r="229" ht="90" customHeight="1" spans="1:16">
      <c r="A229" s="20" t="s">
        <v>1365</v>
      </c>
      <c r="B229" s="20" t="s">
        <v>28</v>
      </c>
      <c r="C229" s="20" t="s">
        <v>6</v>
      </c>
      <c r="D229" s="20" t="s">
        <v>29</v>
      </c>
      <c r="E229" s="11" t="s">
        <v>1366</v>
      </c>
      <c r="F229" s="11" t="s">
        <v>1367</v>
      </c>
      <c r="G229" s="11" t="s">
        <v>1368</v>
      </c>
      <c r="H229" s="11" t="s">
        <v>1369</v>
      </c>
      <c r="I229" s="11" t="s">
        <v>1370</v>
      </c>
      <c r="J229" s="20" t="s">
        <v>18</v>
      </c>
      <c r="K229" s="20" t="s">
        <v>117</v>
      </c>
      <c r="L229" s="20" t="s">
        <v>118</v>
      </c>
      <c r="M229" s="20"/>
      <c r="N229" s="20"/>
      <c r="O229" s="20"/>
      <c r="P229" s="20"/>
    </row>
    <row r="230" ht="90" customHeight="1" spans="1:16">
      <c r="A230" s="20" t="s">
        <v>1371</v>
      </c>
      <c r="B230" s="20" t="s">
        <v>28</v>
      </c>
      <c r="C230" s="20" t="s">
        <v>6</v>
      </c>
      <c r="D230" s="20" t="s">
        <v>29</v>
      </c>
      <c r="E230" s="11" t="s">
        <v>1372</v>
      </c>
      <c r="F230" s="11" t="s">
        <v>1373</v>
      </c>
      <c r="G230" s="11" t="s">
        <v>1374</v>
      </c>
      <c r="H230" s="11" t="s">
        <v>211</v>
      </c>
      <c r="I230" s="11" t="s">
        <v>1375</v>
      </c>
      <c r="J230" s="20" t="s">
        <v>18</v>
      </c>
      <c r="K230" s="20" t="s">
        <v>219</v>
      </c>
      <c r="L230" s="20" t="s">
        <v>118</v>
      </c>
      <c r="M230" s="20"/>
      <c r="N230" s="20"/>
      <c r="O230" s="20"/>
      <c r="P230" s="20"/>
    </row>
    <row r="231" ht="90" customHeight="1" spans="1:16">
      <c r="A231" s="20" t="s">
        <v>1376</v>
      </c>
      <c r="B231" s="20" t="s">
        <v>28</v>
      </c>
      <c r="C231" s="20" t="s">
        <v>6</v>
      </c>
      <c r="D231" s="20" t="s">
        <v>29</v>
      </c>
      <c r="E231" s="11" t="s">
        <v>1377</v>
      </c>
      <c r="F231" s="11" t="s">
        <v>1378</v>
      </c>
      <c r="G231" s="11" t="s">
        <v>1379</v>
      </c>
      <c r="H231" s="11" t="s">
        <v>1380</v>
      </c>
      <c r="I231" s="11" t="s">
        <v>1381</v>
      </c>
      <c r="J231" s="20" t="s">
        <v>18</v>
      </c>
      <c r="K231" s="20" t="s">
        <v>740</v>
      </c>
      <c r="L231" s="20" t="s">
        <v>58</v>
      </c>
      <c r="M231" s="20" t="s">
        <v>1382</v>
      </c>
      <c r="N231" s="20"/>
      <c r="O231" s="20" t="s">
        <v>206</v>
      </c>
      <c r="P231" s="20" t="s">
        <v>1208</v>
      </c>
    </row>
    <row r="232" ht="90" customHeight="1" spans="1:16">
      <c r="A232" s="20" t="s">
        <v>1383</v>
      </c>
      <c r="B232" s="20" t="s">
        <v>28</v>
      </c>
      <c r="C232" s="20" t="s">
        <v>6</v>
      </c>
      <c r="D232" s="20" t="s">
        <v>29</v>
      </c>
      <c r="E232" s="11" t="s">
        <v>1384</v>
      </c>
      <c r="F232" s="11" t="s">
        <v>1385</v>
      </c>
      <c r="G232" s="11" t="s">
        <v>1386</v>
      </c>
      <c r="H232" s="11" t="s">
        <v>211</v>
      </c>
      <c r="I232" s="11" t="s">
        <v>1387</v>
      </c>
      <c r="J232" s="20" t="s">
        <v>18</v>
      </c>
      <c r="K232" s="20" t="s">
        <v>219</v>
      </c>
      <c r="L232" s="20" t="s">
        <v>118</v>
      </c>
      <c r="M232" s="20"/>
      <c r="N232" s="20"/>
      <c r="O232" s="20"/>
      <c r="P232" s="20"/>
    </row>
    <row r="233" ht="90" customHeight="1" spans="1:16">
      <c r="A233" s="20" t="s">
        <v>1388</v>
      </c>
      <c r="B233" s="20" t="s">
        <v>28</v>
      </c>
      <c r="C233" s="20" t="s">
        <v>6</v>
      </c>
      <c r="D233" s="20" t="s">
        <v>29</v>
      </c>
      <c r="E233" s="11" t="s">
        <v>1389</v>
      </c>
      <c r="F233" s="11" t="s">
        <v>1390</v>
      </c>
      <c r="G233" s="11" t="s">
        <v>1391</v>
      </c>
      <c r="H233" s="11" t="s">
        <v>812</v>
      </c>
      <c r="I233" s="11" t="s">
        <v>1392</v>
      </c>
      <c r="J233" s="20" t="s">
        <v>18</v>
      </c>
      <c r="K233" s="20" t="s">
        <v>814</v>
      </c>
      <c r="L233" s="20" t="s">
        <v>118</v>
      </c>
      <c r="M233" s="20"/>
      <c r="N233" s="20"/>
      <c r="O233" s="20"/>
      <c r="P233" s="20"/>
    </row>
    <row r="234" ht="90" customHeight="1" spans="1:16">
      <c r="A234" s="20" t="s">
        <v>1393</v>
      </c>
      <c r="B234" s="20" t="s">
        <v>30</v>
      </c>
      <c r="C234" s="20" t="s">
        <v>6</v>
      </c>
      <c r="D234" s="20" t="s">
        <v>31</v>
      </c>
      <c r="E234" s="11" t="s">
        <v>1394</v>
      </c>
      <c r="F234" s="11" t="s">
        <v>1395</v>
      </c>
      <c r="G234" s="11" t="s">
        <v>1396</v>
      </c>
      <c r="H234" s="11" t="s">
        <v>1397</v>
      </c>
      <c r="I234" s="11" t="s">
        <v>1398</v>
      </c>
      <c r="J234" s="20" t="s">
        <v>15</v>
      </c>
      <c r="K234" s="20" t="s">
        <v>57</v>
      </c>
      <c r="L234" s="20" t="s">
        <v>118</v>
      </c>
      <c r="M234" s="20"/>
      <c r="N234" s="20"/>
      <c r="O234" s="20"/>
      <c r="P234" s="20"/>
    </row>
    <row r="235" ht="90" customHeight="1" spans="1:16">
      <c r="A235" s="20" t="s">
        <v>1399</v>
      </c>
      <c r="B235" s="20" t="s">
        <v>30</v>
      </c>
      <c r="C235" s="20" t="s">
        <v>6</v>
      </c>
      <c r="D235" s="20" t="s">
        <v>31</v>
      </c>
      <c r="E235" s="11" t="s">
        <v>1400</v>
      </c>
      <c r="F235" s="11" t="s">
        <v>1401</v>
      </c>
      <c r="G235" s="11" t="s">
        <v>1402</v>
      </c>
      <c r="H235" s="11" t="s">
        <v>1403</v>
      </c>
      <c r="I235" s="11" t="s">
        <v>1404</v>
      </c>
      <c r="J235" s="20" t="s">
        <v>15</v>
      </c>
      <c r="K235" s="20" t="s">
        <v>213</v>
      </c>
      <c r="L235" s="20" t="s">
        <v>118</v>
      </c>
      <c r="M235" s="20"/>
      <c r="N235" s="20"/>
      <c r="O235" s="20"/>
      <c r="P235" s="20"/>
    </row>
    <row r="236" ht="90" customHeight="1" spans="1:16">
      <c r="A236" s="20" t="s">
        <v>1405</v>
      </c>
      <c r="B236" s="20" t="s">
        <v>30</v>
      </c>
      <c r="C236" s="20" t="s">
        <v>6</v>
      </c>
      <c r="D236" s="20" t="s">
        <v>31</v>
      </c>
      <c r="E236" s="11" t="s">
        <v>1406</v>
      </c>
      <c r="F236" s="11" t="s">
        <v>1407</v>
      </c>
      <c r="G236" s="11" t="s">
        <v>1408</v>
      </c>
      <c r="H236" s="11" t="s">
        <v>211</v>
      </c>
      <c r="I236" s="11" t="s">
        <v>1409</v>
      </c>
      <c r="J236" s="20" t="s">
        <v>15</v>
      </c>
      <c r="K236" s="20" t="s">
        <v>219</v>
      </c>
      <c r="L236" s="20" t="s">
        <v>118</v>
      </c>
      <c r="M236" s="20"/>
      <c r="N236" s="20"/>
      <c r="O236" s="20"/>
      <c r="P236" s="20"/>
    </row>
    <row r="237" ht="90" customHeight="1" spans="1:16">
      <c r="A237" s="20" t="s">
        <v>1410</v>
      </c>
      <c r="B237" s="20" t="s">
        <v>30</v>
      </c>
      <c r="C237" s="20" t="s">
        <v>6</v>
      </c>
      <c r="D237" s="20" t="s">
        <v>31</v>
      </c>
      <c r="E237" s="11" t="s">
        <v>1411</v>
      </c>
      <c r="F237" s="11" t="s">
        <v>1412</v>
      </c>
      <c r="G237" s="11" t="s">
        <v>1413</v>
      </c>
      <c r="H237" s="11" t="s">
        <v>1414</v>
      </c>
      <c r="I237" s="11" t="s">
        <v>1415</v>
      </c>
      <c r="J237" s="20" t="s">
        <v>15</v>
      </c>
      <c r="K237" s="20" t="s">
        <v>213</v>
      </c>
      <c r="L237" s="20" t="s">
        <v>118</v>
      </c>
      <c r="M237" s="20"/>
      <c r="N237" s="20"/>
      <c r="O237" s="20"/>
      <c r="P237" s="20"/>
    </row>
    <row r="238" ht="90" customHeight="1" spans="1:16">
      <c r="A238" s="20" t="s">
        <v>1416</v>
      </c>
      <c r="B238" s="20" t="s">
        <v>30</v>
      </c>
      <c r="C238" s="20" t="s">
        <v>6</v>
      </c>
      <c r="D238" s="20" t="s">
        <v>31</v>
      </c>
      <c r="E238" s="11" t="s">
        <v>1417</v>
      </c>
      <c r="F238" s="11" t="s">
        <v>1418</v>
      </c>
      <c r="G238" s="11" t="s">
        <v>1419</v>
      </c>
      <c r="H238" s="11" t="s">
        <v>211</v>
      </c>
      <c r="I238" s="11" t="s">
        <v>1420</v>
      </c>
      <c r="J238" s="20" t="s">
        <v>15</v>
      </c>
      <c r="K238" s="20" t="s">
        <v>740</v>
      </c>
      <c r="L238" s="20" t="s">
        <v>118</v>
      </c>
      <c r="M238" s="20"/>
      <c r="N238" s="20"/>
      <c r="O238" s="20"/>
      <c r="P238" s="20"/>
    </row>
    <row r="239" ht="90" customHeight="1" spans="1:16">
      <c r="A239" s="20" t="s">
        <v>1421</v>
      </c>
      <c r="B239" s="20" t="s">
        <v>30</v>
      </c>
      <c r="C239" s="20" t="s">
        <v>6</v>
      </c>
      <c r="D239" s="20" t="s">
        <v>31</v>
      </c>
      <c r="E239" s="11" t="s">
        <v>1422</v>
      </c>
      <c r="F239" s="11" t="s">
        <v>1423</v>
      </c>
      <c r="G239" s="11" t="s">
        <v>1424</v>
      </c>
      <c r="H239" s="11" t="s">
        <v>211</v>
      </c>
      <c r="I239" s="11" t="s">
        <v>1425</v>
      </c>
      <c r="J239" s="20" t="s">
        <v>15</v>
      </c>
      <c r="K239" s="20" t="s">
        <v>740</v>
      </c>
      <c r="L239" s="20" t="s">
        <v>118</v>
      </c>
      <c r="M239" s="20"/>
      <c r="N239" s="20"/>
      <c r="O239" s="20"/>
      <c r="P239" s="20"/>
    </row>
    <row r="240" ht="90" customHeight="1" spans="1:16">
      <c r="A240" s="20" t="s">
        <v>1426</v>
      </c>
      <c r="B240" s="20" t="s">
        <v>30</v>
      </c>
      <c r="C240" s="20" t="s">
        <v>6</v>
      </c>
      <c r="D240" s="20" t="s">
        <v>31</v>
      </c>
      <c r="E240" s="11" t="s">
        <v>1427</v>
      </c>
      <c r="F240" s="11" t="s">
        <v>1401</v>
      </c>
      <c r="G240" s="11" t="s">
        <v>1428</v>
      </c>
      <c r="H240" s="11" t="s">
        <v>1429</v>
      </c>
      <c r="I240" s="11" t="s">
        <v>1430</v>
      </c>
      <c r="J240" s="20" t="s">
        <v>15</v>
      </c>
      <c r="K240" s="20" t="s">
        <v>213</v>
      </c>
      <c r="L240" s="20" t="s">
        <v>118</v>
      </c>
      <c r="M240" s="20"/>
      <c r="N240" s="20"/>
      <c r="O240" s="20"/>
      <c r="P240" s="20"/>
    </row>
    <row r="241" ht="90" customHeight="1" spans="1:16">
      <c r="A241" s="20" t="s">
        <v>1431</v>
      </c>
      <c r="B241" s="20" t="s">
        <v>30</v>
      </c>
      <c r="C241" s="20" t="s">
        <v>6</v>
      </c>
      <c r="D241" s="20" t="s">
        <v>31</v>
      </c>
      <c r="E241" s="11" t="s">
        <v>1432</v>
      </c>
      <c r="F241" s="11" t="s">
        <v>1433</v>
      </c>
      <c r="G241" s="11" t="s">
        <v>1434</v>
      </c>
      <c r="H241" s="11" t="s">
        <v>211</v>
      </c>
      <c r="I241" s="11" t="s">
        <v>1435</v>
      </c>
      <c r="J241" s="20" t="s">
        <v>15</v>
      </c>
      <c r="K241" s="20" t="s">
        <v>213</v>
      </c>
      <c r="L241" s="20" t="s">
        <v>118</v>
      </c>
      <c r="M241" s="20"/>
      <c r="N241" s="20"/>
      <c r="O241" s="20"/>
      <c r="P241" s="20"/>
    </row>
    <row r="242" ht="90" customHeight="1" spans="1:16">
      <c r="A242" s="20" t="s">
        <v>1436</v>
      </c>
      <c r="B242" s="20" t="s">
        <v>30</v>
      </c>
      <c r="C242" s="20" t="s">
        <v>6</v>
      </c>
      <c r="D242" s="20" t="s">
        <v>31</v>
      </c>
      <c r="E242" s="11" t="s">
        <v>1437</v>
      </c>
      <c r="F242" s="11" t="s">
        <v>1438</v>
      </c>
      <c r="G242" s="11" t="s">
        <v>1439</v>
      </c>
      <c r="H242" s="11" t="s">
        <v>1440</v>
      </c>
      <c r="I242" s="11" t="s">
        <v>1441</v>
      </c>
      <c r="J242" s="20" t="s">
        <v>15</v>
      </c>
      <c r="K242" s="20" t="s">
        <v>814</v>
      </c>
      <c r="L242" s="20" t="s">
        <v>118</v>
      </c>
      <c r="M242" s="20"/>
      <c r="N242" s="20"/>
      <c r="O242" s="20"/>
      <c r="P242" s="20"/>
    </row>
    <row r="243" ht="90" customHeight="1" spans="1:16">
      <c r="A243" s="20" t="s">
        <v>1442</v>
      </c>
      <c r="B243" s="20" t="s">
        <v>30</v>
      </c>
      <c r="C243" s="20" t="s">
        <v>6</v>
      </c>
      <c r="D243" s="20" t="s">
        <v>31</v>
      </c>
      <c r="E243" s="11" t="s">
        <v>1443</v>
      </c>
      <c r="F243" s="11" t="s">
        <v>1444</v>
      </c>
      <c r="G243" s="11" t="s">
        <v>1445</v>
      </c>
      <c r="H243" s="11" t="s">
        <v>211</v>
      </c>
      <c r="I243" s="11" t="s">
        <v>1446</v>
      </c>
      <c r="J243" s="20" t="s">
        <v>15</v>
      </c>
      <c r="K243" s="20" t="s">
        <v>677</v>
      </c>
      <c r="L243" s="20" t="s">
        <v>118</v>
      </c>
      <c r="M243" s="20"/>
      <c r="N243" s="20"/>
      <c r="O243" s="20"/>
      <c r="P243" s="20"/>
    </row>
    <row r="244" ht="90" customHeight="1" spans="1:16">
      <c r="A244" s="20" t="s">
        <v>1447</v>
      </c>
      <c r="B244" s="20" t="s">
        <v>32</v>
      </c>
      <c r="C244" s="20" t="s">
        <v>6</v>
      </c>
      <c r="D244" s="20" t="s">
        <v>33</v>
      </c>
      <c r="E244" s="11" t="s">
        <v>1448</v>
      </c>
      <c r="F244" s="11" t="s">
        <v>1449</v>
      </c>
      <c r="G244" s="11" t="s">
        <v>1450</v>
      </c>
      <c r="H244" s="11" t="s">
        <v>211</v>
      </c>
      <c r="I244" s="11" t="s">
        <v>1451</v>
      </c>
      <c r="J244" s="20" t="s">
        <v>18</v>
      </c>
      <c r="K244" s="20" t="s">
        <v>958</v>
      </c>
      <c r="L244" s="20" t="s">
        <v>118</v>
      </c>
      <c r="M244" s="20"/>
      <c r="N244" s="20"/>
      <c r="O244" s="20"/>
      <c r="P244" s="20"/>
    </row>
    <row r="245" ht="90" customHeight="1" spans="1:16">
      <c r="A245" s="20" t="s">
        <v>1452</v>
      </c>
      <c r="B245" s="20" t="s">
        <v>32</v>
      </c>
      <c r="C245" s="20" t="s">
        <v>6</v>
      </c>
      <c r="D245" s="20" t="s">
        <v>33</v>
      </c>
      <c r="E245" s="11" t="s">
        <v>1453</v>
      </c>
      <c r="F245" s="11" t="s">
        <v>1454</v>
      </c>
      <c r="G245" s="11" t="s">
        <v>1455</v>
      </c>
      <c r="H245" s="11" t="s">
        <v>1456</v>
      </c>
      <c r="I245" s="11" t="s">
        <v>1457</v>
      </c>
      <c r="J245" s="20" t="s">
        <v>18</v>
      </c>
      <c r="K245" s="20" t="s">
        <v>57</v>
      </c>
      <c r="L245" s="20" t="s">
        <v>118</v>
      </c>
      <c r="M245" s="20"/>
      <c r="N245" s="20"/>
      <c r="O245" s="20"/>
      <c r="P245" s="20"/>
    </row>
    <row r="246" ht="90" customHeight="1" spans="1:16">
      <c r="A246" s="20" t="s">
        <v>1458</v>
      </c>
      <c r="B246" s="20" t="s">
        <v>32</v>
      </c>
      <c r="C246" s="20" t="s">
        <v>6</v>
      </c>
      <c r="D246" s="20" t="s">
        <v>33</v>
      </c>
      <c r="E246" s="11" t="s">
        <v>1459</v>
      </c>
      <c r="F246" s="11" t="s">
        <v>1460</v>
      </c>
      <c r="G246" s="11" t="s">
        <v>1461</v>
      </c>
      <c r="H246" s="11" t="s">
        <v>1462</v>
      </c>
      <c r="I246" s="11" t="s">
        <v>1463</v>
      </c>
      <c r="J246" s="20" t="s">
        <v>18</v>
      </c>
      <c r="K246" s="20" t="s">
        <v>57</v>
      </c>
      <c r="L246" s="20" t="s">
        <v>58</v>
      </c>
      <c r="M246" s="20" t="s">
        <v>1464</v>
      </c>
      <c r="N246" s="20"/>
      <c r="O246" s="20" t="s">
        <v>70</v>
      </c>
      <c r="P246" s="20" t="s">
        <v>1208</v>
      </c>
    </row>
    <row r="247" ht="90" customHeight="1" spans="1:16">
      <c r="A247" s="20" t="s">
        <v>1465</v>
      </c>
      <c r="B247" s="20" t="s">
        <v>32</v>
      </c>
      <c r="C247" s="20" t="s">
        <v>6</v>
      </c>
      <c r="D247" s="20" t="s">
        <v>33</v>
      </c>
      <c r="E247" s="11" t="s">
        <v>1466</v>
      </c>
      <c r="F247" s="11" t="s">
        <v>1460</v>
      </c>
      <c r="G247" s="11" t="s">
        <v>1467</v>
      </c>
      <c r="H247" s="11" t="s">
        <v>1468</v>
      </c>
      <c r="I247" s="11" t="s">
        <v>1469</v>
      </c>
      <c r="J247" s="20" t="s">
        <v>18</v>
      </c>
      <c r="K247" s="20" t="s">
        <v>68</v>
      </c>
      <c r="L247" s="20" t="s">
        <v>118</v>
      </c>
      <c r="M247" s="20"/>
      <c r="N247" s="20"/>
      <c r="O247" s="20"/>
      <c r="P247" s="20"/>
    </row>
    <row r="248" ht="90" customHeight="1" spans="1:16">
      <c r="A248" s="20" t="s">
        <v>1470</v>
      </c>
      <c r="B248" s="20" t="s">
        <v>32</v>
      </c>
      <c r="C248" s="20" t="s">
        <v>6</v>
      </c>
      <c r="D248" s="20" t="s">
        <v>33</v>
      </c>
      <c r="E248" s="11" t="s">
        <v>1471</v>
      </c>
      <c r="F248" s="11" t="s">
        <v>1460</v>
      </c>
      <c r="G248" s="11" t="s">
        <v>1472</v>
      </c>
      <c r="H248" s="11" t="s">
        <v>1473</v>
      </c>
      <c r="I248" s="11" t="s">
        <v>1474</v>
      </c>
      <c r="J248" s="20" t="s">
        <v>18</v>
      </c>
      <c r="K248" s="20" t="s">
        <v>96</v>
      </c>
      <c r="L248" s="20" t="s">
        <v>118</v>
      </c>
      <c r="M248" s="20"/>
      <c r="N248" s="20"/>
      <c r="O248" s="20"/>
      <c r="P248" s="20"/>
    </row>
    <row r="249" ht="90" customHeight="1" spans="1:16">
      <c r="A249" s="20" t="s">
        <v>1475</v>
      </c>
      <c r="B249" s="20" t="s">
        <v>32</v>
      </c>
      <c r="C249" s="20" t="s">
        <v>6</v>
      </c>
      <c r="D249" s="20" t="s">
        <v>33</v>
      </c>
      <c r="E249" s="11" t="s">
        <v>1476</v>
      </c>
      <c r="F249" s="11" t="s">
        <v>1477</v>
      </c>
      <c r="G249" s="11" t="s">
        <v>1478</v>
      </c>
      <c r="H249" s="11" t="s">
        <v>1479</v>
      </c>
      <c r="I249" s="11" t="s">
        <v>1480</v>
      </c>
      <c r="J249" s="20" t="s">
        <v>18</v>
      </c>
      <c r="K249" s="20" t="s">
        <v>57</v>
      </c>
      <c r="L249" s="20" t="s">
        <v>118</v>
      </c>
      <c r="M249" s="20"/>
      <c r="N249" s="20"/>
      <c r="O249" s="20"/>
      <c r="P249" s="20"/>
    </row>
    <row r="250" ht="90" customHeight="1" spans="1:16">
      <c r="A250" s="20" t="s">
        <v>1481</v>
      </c>
      <c r="B250" s="20" t="s">
        <v>32</v>
      </c>
      <c r="C250" s="20" t="s">
        <v>6</v>
      </c>
      <c r="D250" s="20" t="s">
        <v>33</v>
      </c>
      <c r="E250" s="11" t="s">
        <v>1482</v>
      </c>
      <c r="F250" s="11" t="s">
        <v>1483</v>
      </c>
      <c r="G250" s="11" t="s">
        <v>1484</v>
      </c>
      <c r="H250" s="11" t="s">
        <v>211</v>
      </c>
      <c r="I250" s="11" t="s">
        <v>1485</v>
      </c>
      <c r="J250" s="20" t="s">
        <v>18</v>
      </c>
      <c r="K250" s="20" t="s">
        <v>279</v>
      </c>
      <c r="L250" s="20" t="s">
        <v>118</v>
      </c>
      <c r="M250" s="20"/>
      <c r="N250" s="20"/>
      <c r="O250" s="20"/>
      <c r="P250" s="20"/>
    </row>
    <row r="251" ht="90" customHeight="1" spans="1:16">
      <c r="A251" s="20" t="s">
        <v>1486</v>
      </c>
      <c r="B251" s="20" t="s">
        <v>32</v>
      </c>
      <c r="C251" s="20" t="s">
        <v>6</v>
      </c>
      <c r="D251" s="20" t="s">
        <v>33</v>
      </c>
      <c r="E251" s="11" t="s">
        <v>1487</v>
      </c>
      <c r="F251" s="11" t="s">
        <v>1488</v>
      </c>
      <c r="G251" s="11" t="s">
        <v>1489</v>
      </c>
      <c r="H251" s="11" t="s">
        <v>1490</v>
      </c>
      <c r="I251" s="11" t="s">
        <v>1491</v>
      </c>
      <c r="J251" s="20" t="s">
        <v>18</v>
      </c>
      <c r="K251" s="20" t="s">
        <v>57</v>
      </c>
      <c r="L251" s="20" t="s">
        <v>118</v>
      </c>
      <c r="M251" s="20"/>
      <c r="N251" s="20"/>
      <c r="O251" s="20"/>
      <c r="P251" s="20"/>
    </row>
    <row r="252" ht="90" customHeight="1" spans="1:16">
      <c r="A252" s="20" t="s">
        <v>1492</v>
      </c>
      <c r="B252" s="20" t="s">
        <v>32</v>
      </c>
      <c r="C252" s="20" t="s">
        <v>6</v>
      </c>
      <c r="D252" s="20" t="s">
        <v>33</v>
      </c>
      <c r="E252" s="11" t="s">
        <v>1493</v>
      </c>
      <c r="F252" s="11" t="s">
        <v>1494</v>
      </c>
      <c r="G252" s="11" t="s">
        <v>1495</v>
      </c>
      <c r="H252" s="11" t="s">
        <v>1496</v>
      </c>
      <c r="I252" s="11" t="s">
        <v>1497</v>
      </c>
      <c r="J252" s="20" t="s">
        <v>18</v>
      </c>
      <c r="K252" s="20" t="s">
        <v>96</v>
      </c>
      <c r="L252" s="20" t="s">
        <v>118</v>
      </c>
      <c r="M252" s="20"/>
      <c r="N252" s="20"/>
      <c r="O252" s="20"/>
      <c r="P252" s="20"/>
    </row>
    <row r="253" ht="90" customHeight="1" spans="1:16">
      <c r="A253" s="20" t="s">
        <v>1498</v>
      </c>
      <c r="B253" s="20" t="s">
        <v>32</v>
      </c>
      <c r="C253" s="20" t="s">
        <v>6</v>
      </c>
      <c r="D253" s="20" t="s">
        <v>33</v>
      </c>
      <c r="E253" s="11" t="s">
        <v>1499</v>
      </c>
      <c r="F253" s="11" t="s">
        <v>1494</v>
      </c>
      <c r="G253" s="11" t="s">
        <v>1500</v>
      </c>
      <c r="H253" s="11" t="s">
        <v>1501</v>
      </c>
      <c r="I253" s="11" t="s">
        <v>1502</v>
      </c>
      <c r="J253" s="20" t="s">
        <v>18</v>
      </c>
      <c r="K253" s="20" t="s">
        <v>107</v>
      </c>
      <c r="L253" s="20" t="s">
        <v>58</v>
      </c>
      <c r="M253" s="20" t="s">
        <v>1503</v>
      </c>
      <c r="N253" s="20"/>
      <c r="O253" s="20" t="s">
        <v>70</v>
      </c>
      <c r="P253" s="20" t="s">
        <v>1504</v>
      </c>
    </row>
    <row r="254" ht="90" customHeight="1" spans="1:16">
      <c r="A254" s="20" t="s">
        <v>1505</v>
      </c>
      <c r="B254" s="20" t="s">
        <v>32</v>
      </c>
      <c r="C254" s="20" t="s">
        <v>6</v>
      </c>
      <c r="D254" s="20" t="s">
        <v>33</v>
      </c>
      <c r="E254" s="11" t="s">
        <v>1506</v>
      </c>
      <c r="F254" s="11" t="s">
        <v>1507</v>
      </c>
      <c r="G254" s="11" t="s">
        <v>1508</v>
      </c>
      <c r="H254" s="11" t="s">
        <v>1509</v>
      </c>
      <c r="I254" s="11" t="s">
        <v>1510</v>
      </c>
      <c r="J254" s="20" t="s">
        <v>18</v>
      </c>
      <c r="K254" s="20" t="s">
        <v>57</v>
      </c>
      <c r="L254" s="20" t="s">
        <v>118</v>
      </c>
      <c r="M254" s="20"/>
      <c r="N254" s="20"/>
      <c r="O254" s="20"/>
      <c r="P254" s="20"/>
    </row>
    <row r="255" ht="90" customHeight="1" spans="1:16">
      <c r="A255" s="20" t="s">
        <v>1511</v>
      </c>
      <c r="B255" s="20" t="s">
        <v>32</v>
      </c>
      <c r="C255" s="20" t="s">
        <v>6</v>
      </c>
      <c r="D255" s="20" t="s">
        <v>33</v>
      </c>
      <c r="E255" s="11" t="s">
        <v>1512</v>
      </c>
      <c r="F255" s="11" t="s">
        <v>1513</v>
      </c>
      <c r="G255" s="11" t="s">
        <v>1514</v>
      </c>
      <c r="H255" s="11" t="s">
        <v>1272</v>
      </c>
      <c r="I255" s="11" t="s">
        <v>1515</v>
      </c>
      <c r="J255" s="20" t="s">
        <v>18</v>
      </c>
      <c r="K255" s="20" t="s">
        <v>279</v>
      </c>
      <c r="L255" s="20" t="s">
        <v>118</v>
      </c>
      <c r="M255" s="20"/>
      <c r="N255" s="20"/>
      <c r="O255" s="20"/>
      <c r="P255" s="20"/>
    </row>
    <row r="256" ht="90" customHeight="1" spans="1:16">
      <c r="A256" s="20" t="s">
        <v>1516</v>
      </c>
      <c r="B256" s="20" t="s">
        <v>32</v>
      </c>
      <c r="C256" s="20" t="s">
        <v>6</v>
      </c>
      <c r="D256" s="20" t="s">
        <v>33</v>
      </c>
      <c r="E256" s="11" t="s">
        <v>1517</v>
      </c>
      <c r="F256" s="11" t="s">
        <v>1518</v>
      </c>
      <c r="G256" s="11" t="s">
        <v>1519</v>
      </c>
      <c r="H256" s="11" t="s">
        <v>211</v>
      </c>
      <c r="I256" s="11" t="s">
        <v>1520</v>
      </c>
      <c r="J256" s="20" t="s">
        <v>18</v>
      </c>
      <c r="K256" s="20" t="s">
        <v>740</v>
      </c>
      <c r="L256" s="20" t="s">
        <v>118</v>
      </c>
      <c r="M256" s="20"/>
      <c r="N256" s="20"/>
      <c r="O256" s="20"/>
      <c r="P256" s="20"/>
    </row>
    <row r="257" ht="90" customHeight="1" spans="1:16">
      <c r="A257" s="20" t="s">
        <v>1521</v>
      </c>
      <c r="B257" s="20" t="s">
        <v>32</v>
      </c>
      <c r="C257" s="20" t="s">
        <v>6</v>
      </c>
      <c r="D257" s="20" t="s">
        <v>33</v>
      </c>
      <c r="E257" s="11" t="s">
        <v>1522</v>
      </c>
      <c r="F257" s="11" t="s">
        <v>1523</v>
      </c>
      <c r="G257" s="11" t="s">
        <v>1524</v>
      </c>
      <c r="H257" s="11" t="s">
        <v>1525</v>
      </c>
      <c r="I257" s="11" t="s">
        <v>1526</v>
      </c>
      <c r="J257" s="20" t="s">
        <v>18</v>
      </c>
      <c r="K257" s="20" t="s">
        <v>57</v>
      </c>
      <c r="L257" s="20" t="s">
        <v>118</v>
      </c>
      <c r="M257" s="20"/>
      <c r="N257" s="20"/>
      <c r="O257" s="20"/>
      <c r="P257" s="20"/>
    </row>
    <row r="258" ht="90" customHeight="1" spans="1:16">
      <c r="A258" s="20" t="s">
        <v>1527</v>
      </c>
      <c r="B258" s="20" t="s">
        <v>32</v>
      </c>
      <c r="C258" s="20" t="s">
        <v>6</v>
      </c>
      <c r="D258" s="20" t="s">
        <v>33</v>
      </c>
      <c r="E258" s="11" t="s">
        <v>1528</v>
      </c>
      <c r="F258" s="11" t="s">
        <v>1529</v>
      </c>
      <c r="G258" s="11" t="s">
        <v>1530</v>
      </c>
      <c r="H258" s="11" t="s">
        <v>211</v>
      </c>
      <c r="I258" s="11" t="s">
        <v>1531</v>
      </c>
      <c r="J258" s="20" t="s">
        <v>18</v>
      </c>
      <c r="K258" s="20" t="s">
        <v>204</v>
      </c>
      <c r="L258" s="20" t="s">
        <v>118</v>
      </c>
      <c r="M258" s="20"/>
      <c r="N258" s="20"/>
      <c r="O258" s="20"/>
      <c r="P258" s="20"/>
    </row>
    <row r="259" ht="90" customHeight="1" spans="1:16">
      <c r="A259" s="20" t="s">
        <v>1532</v>
      </c>
      <c r="B259" s="20" t="s">
        <v>32</v>
      </c>
      <c r="C259" s="20" t="s">
        <v>6</v>
      </c>
      <c r="D259" s="20" t="s">
        <v>33</v>
      </c>
      <c r="E259" s="11" t="s">
        <v>1533</v>
      </c>
      <c r="F259" s="11" t="s">
        <v>1534</v>
      </c>
      <c r="G259" s="11" t="s">
        <v>1535</v>
      </c>
      <c r="H259" s="11" t="s">
        <v>1536</v>
      </c>
      <c r="I259" s="11" t="s">
        <v>1537</v>
      </c>
      <c r="J259" s="20" t="s">
        <v>18</v>
      </c>
      <c r="K259" s="20" t="s">
        <v>400</v>
      </c>
      <c r="L259" s="20" t="s">
        <v>108</v>
      </c>
      <c r="M259" s="20" t="s">
        <v>1538</v>
      </c>
      <c r="N259" s="20" t="s">
        <v>1539</v>
      </c>
      <c r="O259" s="20" t="s">
        <v>60</v>
      </c>
      <c r="P259" s="20" t="s">
        <v>1504</v>
      </c>
    </row>
    <row r="260" ht="90" customHeight="1" spans="1:16">
      <c r="A260" s="20" t="s">
        <v>1540</v>
      </c>
      <c r="B260" s="20" t="s">
        <v>32</v>
      </c>
      <c r="C260" s="20" t="s">
        <v>6</v>
      </c>
      <c r="D260" s="20" t="s">
        <v>33</v>
      </c>
      <c r="E260" s="11" t="s">
        <v>1541</v>
      </c>
      <c r="F260" s="11" t="s">
        <v>1542</v>
      </c>
      <c r="G260" s="11" t="s">
        <v>1543</v>
      </c>
      <c r="H260" s="11" t="s">
        <v>211</v>
      </c>
      <c r="I260" s="11" t="s">
        <v>1544</v>
      </c>
      <c r="J260" s="20" t="s">
        <v>18</v>
      </c>
      <c r="K260" s="20" t="s">
        <v>219</v>
      </c>
      <c r="L260" s="20" t="s">
        <v>118</v>
      </c>
      <c r="M260" s="20"/>
      <c r="N260" s="20"/>
      <c r="O260" s="20"/>
      <c r="P260" s="20"/>
    </row>
    <row r="261" ht="90" customHeight="1" spans="1:16">
      <c r="A261" s="20" t="s">
        <v>1545</v>
      </c>
      <c r="B261" s="20" t="s">
        <v>32</v>
      </c>
      <c r="C261" s="20" t="s">
        <v>6</v>
      </c>
      <c r="D261" s="20" t="s">
        <v>33</v>
      </c>
      <c r="E261" s="11" t="s">
        <v>1546</v>
      </c>
      <c r="F261" s="11" t="s">
        <v>1547</v>
      </c>
      <c r="G261" s="11" t="s">
        <v>1548</v>
      </c>
      <c r="H261" s="11" t="s">
        <v>417</v>
      </c>
      <c r="I261" s="11" t="s">
        <v>1549</v>
      </c>
      <c r="J261" s="20" t="s">
        <v>18</v>
      </c>
      <c r="K261" s="20" t="s">
        <v>279</v>
      </c>
      <c r="L261" s="20" t="s">
        <v>118</v>
      </c>
      <c r="M261" s="20"/>
      <c r="N261" s="20"/>
      <c r="O261" s="20"/>
      <c r="P261" s="20"/>
    </row>
    <row r="262" ht="90" customHeight="1" spans="1:16">
      <c r="A262" s="20" t="s">
        <v>1550</v>
      </c>
      <c r="B262" s="20" t="s">
        <v>32</v>
      </c>
      <c r="C262" s="20" t="s">
        <v>6</v>
      </c>
      <c r="D262" s="20" t="s">
        <v>33</v>
      </c>
      <c r="E262" s="11" t="s">
        <v>1551</v>
      </c>
      <c r="F262" s="11" t="s">
        <v>1552</v>
      </c>
      <c r="G262" s="11" t="s">
        <v>1553</v>
      </c>
      <c r="H262" s="11" t="s">
        <v>211</v>
      </c>
      <c r="I262" s="11" t="s">
        <v>1554</v>
      </c>
      <c r="J262" s="20" t="s">
        <v>18</v>
      </c>
      <c r="K262" s="20" t="s">
        <v>213</v>
      </c>
      <c r="L262" s="20" t="s">
        <v>118</v>
      </c>
      <c r="M262" s="20"/>
      <c r="N262" s="20"/>
      <c r="O262" s="20"/>
      <c r="P262" s="20"/>
    </row>
    <row r="263" ht="90" customHeight="1" spans="1:16">
      <c r="A263" s="20" t="s">
        <v>1555</v>
      </c>
      <c r="B263" s="20" t="s">
        <v>32</v>
      </c>
      <c r="C263" s="20" t="s">
        <v>6</v>
      </c>
      <c r="D263" s="20" t="s">
        <v>33</v>
      </c>
      <c r="E263" s="11" t="s">
        <v>1556</v>
      </c>
      <c r="F263" s="11" t="s">
        <v>1557</v>
      </c>
      <c r="G263" s="11" t="s">
        <v>1558</v>
      </c>
      <c r="H263" s="11" t="s">
        <v>405</v>
      </c>
      <c r="I263" s="11" t="s">
        <v>1559</v>
      </c>
      <c r="J263" s="20" t="s">
        <v>18</v>
      </c>
      <c r="K263" s="20" t="s">
        <v>314</v>
      </c>
      <c r="L263" s="20" t="s">
        <v>118</v>
      </c>
      <c r="M263" s="20"/>
      <c r="N263" s="20"/>
      <c r="O263" s="20"/>
      <c r="P263" s="20"/>
    </row>
    <row r="264" ht="90" customHeight="1" spans="1:16">
      <c r="A264" s="20" t="s">
        <v>1560</v>
      </c>
      <c r="B264" s="20" t="s">
        <v>34</v>
      </c>
      <c r="C264" s="20" t="s">
        <v>6</v>
      </c>
      <c r="D264" s="20" t="s">
        <v>35</v>
      </c>
      <c r="E264" s="11" t="s">
        <v>1561</v>
      </c>
      <c r="F264" s="11" t="s">
        <v>1562</v>
      </c>
      <c r="G264" s="11" t="s">
        <v>1563</v>
      </c>
      <c r="H264" s="11" t="s">
        <v>211</v>
      </c>
      <c r="I264" s="11" t="s">
        <v>1564</v>
      </c>
      <c r="J264" s="20" t="s">
        <v>15</v>
      </c>
      <c r="K264" s="20" t="s">
        <v>57</v>
      </c>
      <c r="L264" s="20" t="s">
        <v>118</v>
      </c>
      <c r="M264" s="20"/>
      <c r="N264" s="20"/>
      <c r="O264" s="20"/>
      <c r="P264" s="20"/>
    </row>
    <row r="265" ht="90" customHeight="1" spans="1:16">
      <c r="A265" s="20" t="s">
        <v>1565</v>
      </c>
      <c r="B265" s="20" t="s">
        <v>34</v>
      </c>
      <c r="C265" s="20" t="s">
        <v>6</v>
      </c>
      <c r="D265" s="20" t="s">
        <v>35</v>
      </c>
      <c r="E265" s="11" t="s">
        <v>1566</v>
      </c>
      <c r="F265" s="11" t="s">
        <v>1567</v>
      </c>
      <c r="G265" s="11" t="s">
        <v>1568</v>
      </c>
      <c r="H265" s="11" t="s">
        <v>1569</v>
      </c>
      <c r="I265" s="11" t="s">
        <v>1570</v>
      </c>
      <c r="J265" s="20" t="s">
        <v>15</v>
      </c>
      <c r="K265" s="20" t="s">
        <v>279</v>
      </c>
      <c r="L265" s="20" t="s">
        <v>118</v>
      </c>
      <c r="M265" s="20"/>
      <c r="N265" s="20"/>
      <c r="O265" s="20"/>
      <c r="P265" s="20"/>
    </row>
    <row r="266" ht="90" customHeight="1" spans="1:16">
      <c r="A266" s="20" t="s">
        <v>1571</v>
      </c>
      <c r="B266" s="20" t="s">
        <v>34</v>
      </c>
      <c r="C266" s="20" t="s">
        <v>6</v>
      </c>
      <c r="D266" s="20" t="s">
        <v>35</v>
      </c>
      <c r="E266" s="11" t="s">
        <v>1572</v>
      </c>
      <c r="F266" s="11" t="s">
        <v>1567</v>
      </c>
      <c r="G266" s="11" t="s">
        <v>1573</v>
      </c>
      <c r="H266" s="11" t="s">
        <v>1574</v>
      </c>
      <c r="I266" s="11" t="s">
        <v>1575</v>
      </c>
      <c r="J266" s="20" t="s">
        <v>15</v>
      </c>
      <c r="K266" s="20" t="s">
        <v>96</v>
      </c>
      <c r="L266" s="20" t="s">
        <v>58</v>
      </c>
      <c r="M266" s="20" t="s">
        <v>1576</v>
      </c>
      <c r="N266" s="20"/>
      <c r="O266" s="20" t="s">
        <v>70</v>
      </c>
      <c r="P266" s="20" t="s">
        <v>1504</v>
      </c>
    </row>
    <row r="267" ht="90" customHeight="1" spans="1:16">
      <c r="A267" s="20" t="s">
        <v>1577</v>
      </c>
      <c r="B267" s="20" t="s">
        <v>34</v>
      </c>
      <c r="C267" s="20" t="s">
        <v>6</v>
      </c>
      <c r="D267" s="20" t="s">
        <v>35</v>
      </c>
      <c r="E267" s="11" t="s">
        <v>1578</v>
      </c>
      <c r="F267" s="11" t="s">
        <v>1579</v>
      </c>
      <c r="G267" s="11" t="s">
        <v>1580</v>
      </c>
      <c r="H267" s="11" t="s">
        <v>1581</v>
      </c>
      <c r="I267" s="11" t="s">
        <v>1582</v>
      </c>
      <c r="J267" s="20" t="s">
        <v>15</v>
      </c>
      <c r="K267" s="20" t="s">
        <v>57</v>
      </c>
      <c r="L267" s="20" t="s">
        <v>118</v>
      </c>
      <c r="M267" s="20"/>
      <c r="N267" s="20"/>
      <c r="O267" s="20"/>
      <c r="P267" s="20"/>
    </row>
    <row r="268" ht="90" customHeight="1" spans="1:16">
      <c r="A268" s="20" t="s">
        <v>1583</v>
      </c>
      <c r="B268" s="20" t="s">
        <v>34</v>
      </c>
      <c r="C268" s="20" t="s">
        <v>6</v>
      </c>
      <c r="D268" s="20" t="s">
        <v>35</v>
      </c>
      <c r="E268" s="11" t="s">
        <v>1584</v>
      </c>
      <c r="F268" s="11" t="s">
        <v>1579</v>
      </c>
      <c r="G268" s="11" t="s">
        <v>1585</v>
      </c>
      <c r="H268" s="11" t="s">
        <v>1586</v>
      </c>
      <c r="I268" s="11" t="s">
        <v>1587</v>
      </c>
      <c r="J268" s="20" t="s">
        <v>15</v>
      </c>
      <c r="K268" s="20" t="s">
        <v>152</v>
      </c>
      <c r="L268" s="20" t="s">
        <v>118</v>
      </c>
      <c r="M268" s="20"/>
      <c r="N268" s="20"/>
      <c r="O268" s="20"/>
      <c r="P268" s="20"/>
    </row>
    <row r="269" ht="90" customHeight="1" spans="1:16">
      <c r="A269" s="20" t="s">
        <v>1588</v>
      </c>
      <c r="B269" s="20" t="s">
        <v>34</v>
      </c>
      <c r="C269" s="20" t="s">
        <v>6</v>
      </c>
      <c r="D269" s="20" t="s">
        <v>35</v>
      </c>
      <c r="E269" s="11" t="s">
        <v>1589</v>
      </c>
      <c r="F269" s="11" t="s">
        <v>1590</v>
      </c>
      <c r="G269" s="11" t="s">
        <v>1591</v>
      </c>
      <c r="H269" s="11" t="s">
        <v>1592</v>
      </c>
      <c r="I269" s="11" t="s">
        <v>1593</v>
      </c>
      <c r="J269" s="20" t="s">
        <v>15</v>
      </c>
      <c r="K269" s="20" t="s">
        <v>279</v>
      </c>
      <c r="L269" s="20" t="s">
        <v>118</v>
      </c>
      <c r="M269" s="20"/>
      <c r="N269" s="20"/>
      <c r="O269" s="20"/>
      <c r="P269" s="20"/>
    </row>
    <row r="270" ht="90" customHeight="1" spans="1:16">
      <c r="A270" s="20" t="s">
        <v>1594</v>
      </c>
      <c r="B270" s="20" t="s">
        <v>34</v>
      </c>
      <c r="C270" s="20" t="s">
        <v>6</v>
      </c>
      <c r="D270" s="20" t="s">
        <v>35</v>
      </c>
      <c r="E270" s="11" t="s">
        <v>1595</v>
      </c>
      <c r="F270" s="11" t="s">
        <v>1169</v>
      </c>
      <c r="G270" s="11" t="s">
        <v>1596</v>
      </c>
      <c r="H270" s="11" t="s">
        <v>211</v>
      </c>
      <c r="I270" s="11" t="s">
        <v>1597</v>
      </c>
      <c r="J270" s="20" t="s">
        <v>15</v>
      </c>
      <c r="K270" s="20" t="s">
        <v>213</v>
      </c>
      <c r="L270" s="20" t="s">
        <v>118</v>
      </c>
      <c r="M270" s="20"/>
      <c r="N270" s="20"/>
      <c r="O270" s="20"/>
      <c r="P270" s="20"/>
    </row>
    <row r="271" ht="90" customHeight="1" spans="1:16">
      <c r="A271" s="20" t="s">
        <v>1598</v>
      </c>
      <c r="B271" s="20" t="s">
        <v>34</v>
      </c>
      <c r="C271" s="20" t="s">
        <v>6</v>
      </c>
      <c r="D271" s="20" t="s">
        <v>35</v>
      </c>
      <c r="E271" s="11" t="s">
        <v>1599</v>
      </c>
      <c r="F271" s="11" t="s">
        <v>1169</v>
      </c>
      <c r="G271" s="11" t="s">
        <v>1600</v>
      </c>
      <c r="H271" s="11" t="s">
        <v>1601</v>
      </c>
      <c r="I271" s="11" t="s">
        <v>1602</v>
      </c>
      <c r="J271" s="20" t="s">
        <v>15</v>
      </c>
      <c r="K271" s="20" t="s">
        <v>213</v>
      </c>
      <c r="L271" s="20" t="s">
        <v>58</v>
      </c>
      <c r="M271" s="20" t="s">
        <v>1603</v>
      </c>
      <c r="N271" s="20"/>
      <c r="O271" s="20" t="s">
        <v>60</v>
      </c>
      <c r="P271" s="20" t="s">
        <v>1504</v>
      </c>
    </row>
    <row r="272" ht="90" customHeight="1" spans="1:16">
      <c r="A272" s="20" t="s">
        <v>1604</v>
      </c>
      <c r="B272" s="20" t="s">
        <v>34</v>
      </c>
      <c r="C272" s="20" t="s">
        <v>6</v>
      </c>
      <c r="D272" s="20" t="s">
        <v>35</v>
      </c>
      <c r="E272" s="11" t="s">
        <v>1605</v>
      </c>
      <c r="F272" s="11" t="s">
        <v>1606</v>
      </c>
      <c r="G272" s="11" t="s">
        <v>1607</v>
      </c>
      <c r="H272" s="11" t="s">
        <v>211</v>
      </c>
      <c r="I272" s="11" t="s">
        <v>1608</v>
      </c>
      <c r="J272" s="20" t="s">
        <v>15</v>
      </c>
      <c r="K272" s="20" t="s">
        <v>279</v>
      </c>
      <c r="L272" s="20" t="s">
        <v>118</v>
      </c>
      <c r="M272" s="20"/>
      <c r="N272" s="20"/>
      <c r="O272" s="20"/>
      <c r="P272" s="20"/>
    </row>
  </sheetData>
  <conditionalFormatting sqref="J2:J272">
    <cfRule type="cellIs" dxfId="0" priority="7" operator="equal">
      <formula>"P0"</formula>
    </cfRule>
    <cfRule type="cellIs" dxfId="1" priority="8" operator="equal">
      <formula>"P1"</formula>
    </cfRule>
    <cfRule type="cellIs" dxfId="2" priority="9" operator="equal">
      <formula>"P2"</formula>
    </cfRule>
    <cfRule type="cellIs" dxfId="3" priority="10" operator="equal">
      <formula>"P4"</formula>
    </cfRule>
  </conditionalFormatting>
  <conditionalFormatting sqref="L2:L272">
    <cfRule type="cellIs" dxfId="4" priority="2" operator="equal">
      <formula>"Pass"</formula>
    </cfRule>
    <cfRule type="cellIs" dxfId="5" priority="3" operator="equal">
      <formula>"Fail"</formula>
    </cfRule>
    <cfRule type="cellIs" dxfId="6" priority="4" operator="equal">
      <formula>"Blocked"</formula>
    </cfRule>
    <cfRule type="cellIs" dxfId="7" priority="5" operator="equal">
      <formula>"Not Run"</formula>
    </cfRule>
    <cfRule type="cellIs" dxfId="7" priority="6" operator="equal">
      <formula>"N/A"</formula>
    </cfRule>
  </conditionalFormatting>
  <dataValidations count="2">
    <dataValidation type="list" allowBlank="1" sqref="J2:J272">
      <formula1>"P0,P1,P2,P4"</formula1>
    </dataValidation>
    <dataValidation type="list" allowBlank="1" sqref="L2:L272">
      <formula1>"Not Run,Pass,Fail,Blocked,N/A"</formula1>
    </dataValidation>
  </dataValidations>
  <pageMargins left="0.75" right="0.75" top="1" bottom="1" header="0.511811023622047" footer="0.511811023622047"/>
  <pageSetup paperSize="1" orientation="landscape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4"/>
  <cols>
    <col min="1" max="1" width="12" style="1" customWidth="1"/>
    <col min="2" max="2" width="34" style="1" customWidth="1"/>
    <col min="3" max="3" width="42" style="1" customWidth="1"/>
    <col min="4" max="4" width="26" style="1" customWidth="1"/>
    <col min="5" max="5" width="36" style="1" customWidth="1"/>
  </cols>
  <sheetData>
    <row r="1" ht="21.75" customHeight="1" spans="1:5">
      <c r="A1" s="19" t="s">
        <v>37</v>
      </c>
      <c r="B1" s="19" t="s">
        <v>39</v>
      </c>
      <c r="C1" s="19" t="s">
        <v>41</v>
      </c>
      <c r="D1" s="19" t="s">
        <v>42</v>
      </c>
      <c r="E1" s="19" t="s">
        <v>43</v>
      </c>
    </row>
    <row r="2" ht="75" customHeight="1" spans="1:5">
      <c r="A2" s="20" t="s">
        <v>50</v>
      </c>
      <c r="B2" s="11" t="s">
        <v>52</v>
      </c>
      <c r="C2" s="11" t="s">
        <v>54</v>
      </c>
      <c r="D2" s="11" t="s">
        <v>55</v>
      </c>
      <c r="E2" s="11" t="s">
        <v>56</v>
      </c>
    </row>
    <row r="3" ht="75" customHeight="1" spans="1:5">
      <c r="A3" s="20" t="s">
        <v>62</v>
      </c>
      <c r="B3" s="11" t="s">
        <v>63</v>
      </c>
      <c r="C3" s="11" t="s">
        <v>65</v>
      </c>
      <c r="D3" s="11" t="s">
        <v>66</v>
      </c>
      <c r="E3" s="11" t="s">
        <v>67</v>
      </c>
    </row>
    <row r="4" ht="75" customHeight="1" spans="1:5">
      <c r="A4" s="20" t="s">
        <v>71</v>
      </c>
      <c r="B4" s="11" t="s">
        <v>72</v>
      </c>
      <c r="C4" s="11" t="s">
        <v>73</v>
      </c>
      <c r="D4" s="11" t="s">
        <v>74</v>
      </c>
      <c r="E4" s="11" t="s">
        <v>75</v>
      </c>
    </row>
    <row r="5" ht="75" customHeight="1" spans="1:5">
      <c r="A5" s="20" t="s">
        <v>76</v>
      </c>
      <c r="B5" s="11" t="s">
        <v>77</v>
      </c>
      <c r="C5" s="11" t="s">
        <v>78</v>
      </c>
      <c r="D5" s="11" t="s">
        <v>79</v>
      </c>
      <c r="E5" s="11" t="s">
        <v>80</v>
      </c>
    </row>
    <row r="6" ht="75" customHeight="1" spans="1:5">
      <c r="A6" s="20" t="s">
        <v>81</v>
      </c>
      <c r="B6" s="11" t="s">
        <v>82</v>
      </c>
      <c r="C6" s="11" t="s">
        <v>83</v>
      </c>
      <c r="D6" s="11" t="s">
        <v>84</v>
      </c>
      <c r="E6" s="11" t="s">
        <v>85</v>
      </c>
    </row>
    <row r="7" ht="75" customHeight="1" spans="1:5">
      <c r="A7" s="20" t="s">
        <v>86</v>
      </c>
      <c r="B7" s="11" t="s">
        <v>87</v>
      </c>
      <c r="C7" s="11" t="s">
        <v>88</v>
      </c>
      <c r="D7" s="11" t="s">
        <v>89</v>
      </c>
      <c r="E7" s="11" t="s">
        <v>90</v>
      </c>
    </row>
    <row r="8" ht="75" customHeight="1" spans="1:5">
      <c r="A8" s="20" t="s">
        <v>91</v>
      </c>
      <c r="B8" s="11" t="s">
        <v>92</v>
      </c>
      <c r="C8" s="11" t="s">
        <v>93</v>
      </c>
      <c r="D8" s="11" t="s">
        <v>94</v>
      </c>
      <c r="E8" s="11" t="s">
        <v>95</v>
      </c>
    </row>
    <row r="9" ht="75" customHeight="1" spans="1:5">
      <c r="A9" s="20" t="s">
        <v>97</v>
      </c>
      <c r="B9" s="11" t="s">
        <v>98</v>
      </c>
      <c r="C9" s="11" t="s">
        <v>99</v>
      </c>
      <c r="D9" s="11" t="s">
        <v>100</v>
      </c>
      <c r="E9" s="11" t="s">
        <v>95</v>
      </c>
    </row>
    <row r="10" ht="75" customHeight="1" spans="1:5">
      <c r="A10" s="20" t="s">
        <v>101</v>
      </c>
      <c r="B10" s="11" t="s">
        <v>102</v>
      </c>
      <c r="C10" s="11" t="s">
        <v>104</v>
      </c>
      <c r="D10" s="11" t="s">
        <v>105</v>
      </c>
      <c r="E10" s="11" t="s">
        <v>106</v>
      </c>
    </row>
    <row r="11" ht="75" customHeight="1" spans="1:5">
      <c r="A11" s="20" t="s">
        <v>111</v>
      </c>
      <c r="B11" s="11" t="s">
        <v>112</v>
      </c>
      <c r="C11" s="11" t="s">
        <v>114</v>
      </c>
      <c r="D11" s="11" t="s">
        <v>115</v>
      </c>
      <c r="E11" s="11" t="s">
        <v>116</v>
      </c>
    </row>
    <row r="12" ht="75" customHeight="1" spans="1:5">
      <c r="A12" s="20" t="s">
        <v>119</v>
      </c>
      <c r="B12" s="11" t="s">
        <v>120</v>
      </c>
      <c r="C12" s="11" t="s">
        <v>121</v>
      </c>
      <c r="D12" s="11" t="s">
        <v>122</v>
      </c>
      <c r="E12" s="11" t="s">
        <v>123</v>
      </c>
    </row>
    <row r="13" ht="75" customHeight="1" spans="1:5">
      <c r="A13" s="20" t="s">
        <v>124</v>
      </c>
      <c r="B13" s="11" t="s">
        <v>125</v>
      </c>
      <c r="C13" s="11" t="s">
        <v>127</v>
      </c>
      <c r="D13" s="11" t="s">
        <v>128</v>
      </c>
      <c r="E13" s="11" t="s">
        <v>129</v>
      </c>
    </row>
    <row r="14" ht="75" customHeight="1" spans="1:5">
      <c r="A14" s="20" t="s">
        <v>130</v>
      </c>
      <c r="B14" s="11" t="s">
        <v>131</v>
      </c>
      <c r="C14" s="11" t="s">
        <v>132</v>
      </c>
      <c r="D14" s="11" t="s">
        <v>133</v>
      </c>
      <c r="E14" s="11" t="s">
        <v>134</v>
      </c>
    </row>
    <row r="15" ht="75" customHeight="1" spans="1:5">
      <c r="A15" s="20" t="s">
        <v>137</v>
      </c>
      <c r="B15" s="11" t="s">
        <v>138</v>
      </c>
      <c r="C15" s="11" t="s">
        <v>139</v>
      </c>
      <c r="D15" s="11" t="s">
        <v>140</v>
      </c>
      <c r="E15" s="11" t="s">
        <v>141</v>
      </c>
    </row>
    <row r="16" ht="75" customHeight="1" spans="1:5">
      <c r="A16" s="20" t="s">
        <v>142</v>
      </c>
      <c r="B16" s="11" t="s">
        <v>143</v>
      </c>
      <c r="C16" s="11" t="s">
        <v>144</v>
      </c>
      <c r="D16" s="11" t="s">
        <v>145</v>
      </c>
      <c r="E16" s="11" t="s">
        <v>146</v>
      </c>
    </row>
    <row r="17" ht="75" customHeight="1" spans="1:5">
      <c r="A17" s="20" t="s">
        <v>147</v>
      </c>
      <c r="B17" s="11" t="s">
        <v>148</v>
      </c>
      <c r="C17" s="11" t="s">
        <v>149</v>
      </c>
      <c r="D17" s="11" t="s">
        <v>150</v>
      </c>
      <c r="E17" s="11" t="s">
        <v>151</v>
      </c>
    </row>
    <row r="18" ht="75" customHeight="1" spans="1:5">
      <c r="A18" s="20" t="s">
        <v>153</v>
      </c>
      <c r="B18" s="11" t="s">
        <v>154</v>
      </c>
      <c r="C18" s="11" t="s">
        <v>155</v>
      </c>
      <c r="D18" s="11" t="s">
        <v>156</v>
      </c>
      <c r="E18" s="11" t="s">
        <v>157</v>
      </c>
    </row>
    <row r="19" ht="75" customHeight="1" spans="1:5">
      <c r="A19" s="20" t="s">
        <v>159</v>
      </c>
      <c r="B19" s="11" t="s">
        <v>160</v>
      </c>
      <c r="C19" s="11" t="s">
        <v>161</v>
      </c>
      <c r="D19" s="11" t="s">
        <v>162</v>
      </c>
      <c r="E19" s="11" t="s">
        <v>163</v>
      </c>
    </row>
    <row r="20" ht="75" customHeight="1" spans="1:5">
      <c r="A20" s="20" t="s">
        <v>164</v>
      </c>
      <c r="B20" s="11" t="s">
        <v>165</v>
      </c>
      <c r="C20" s="11" t="s">
        <v>166</v>
      </c>
      <c r="D20" s="11" t="s">
        <v>167</v>
      </c>
      <c r="E20" s="11" t="s">
        <v>168</v>
      </c>
    </row>
    <row r="21" ht="75" customHeight="1" spans="1:5">
      <c r="A21" s="20" t="s">
        <v>170</v>
      </c>
      <c r="B21" s="11" t="s">
        <v>171</v>
      </c>
      <c r="C21" s="11" t="s">
        <v>172</v>
      </c>
      <c r="D21" s="11" t="s">
        <v>173</v>
      </c>
      <c r="E21" s="11" t="s">
        <v>174</v>
      </c>
    </row>
    <row r="22" ht="75" customHeight="1" spans="1:5">
      <c r="A22" s="20" t="s">
        <v>175</v>
      </c>
      <c r="B22" s="11" t="s">
        <v>176</v>
      </c>
      <c r="C22" s="11" t="s">
        <v>177</v>
      </c>
      <c r="D22" s="11" t="s">
        <v>178</v>
      </c>
      <c r="E22" s="11" t="s">
        <v>179</v>
      </c>
    </row>
    <row r="23" ht="75" customHeight="1" spans="1:5">
      <c r="A23" s="20" t="s">
        <v>180</v>
      </c>
      <c r="B23" s="11" t="s">
        <v>181</v>
      </c>
      <c r="C23" s="11" t="s">
        <v>183</v>
      </c>
      <c r="D23" s="11" t="s">
        <v>184</v>
      </c>
      <c r="E23" s="11" t="s">
        <v>185</v>
      </c>
    </row>
    <row r="24" ht="75" customHeight="1" spans="1:5">
      <c r="A24" s="20" t="s">
        <v>187</v>
      </c>
      <c r="B24" s="11" t="s">
        <v>188</v>
      </c>
      <c r="C24" s="11" t="s">
        <v>190</v>
      </c>
      <c r="D24" s="11" t="s">
        <v>191</v>
      </c>
      <c r="E24" s="11" t="s">
        <v>192</v>
      </c>
    </row>
    <row r="25" ht="75" customHeight="1" spans="1:5">
      <c r="A25" s="20" t="s">
        <v>193</v>
      </c>
      <c r="B25" s="11" t="s">
        <v>194</v>
      </c>
      <c r="C25" s="11" t="s">
        <v>195</v>
      </c>
      <c r="D25" s="11" t="s">
        <v>196</v>
      </c>
      <c r="E25" s="11" t="s">
        <v>197</v>
      </c>
    </row>
    <row r="26" ht="75" customHeight="1" spans="1:5">
      <c r="A26" s="20" t="s">
        <v>198</v>
      </c>
      <c r="B26" s="11" t="s">
        <v>199</v>
      </c>
      <c r="C26" s="11" t="s">
        <v>201</v>
      </c>
      <c r="D26" s="11" t="s">
        <v>202</v>
      </c>
      <c r="E26" s="11" t="s">
        <v>203</v>
      </c>
    </row>
    <row r="27" ht="75" customHeight="1" spans="1:5">
      <c r="A27" s="20" t="s">
        <v>208</v>
      </c>
      <c r="B27" s="11" t="s">
        <v>209</v>
      </c>
      <c r="C27" s="11" t="s">
        <v>210</v>
      </c>
      <c r="D27" s="11" t="s">
        <v>211</v>
      </c>
      <c r="E27" s="11" t="s">
        <v>212</v>
      </c>
    </row>
    <row r="28" ht="75" customHeight="1" spans="1:5">
      <c r="A28" s="20" t="s">
        <v>214</v>
      </c>
      <c r="B28" s="11" t="s">
        <v>215</v>
      </c>
      <c r="C28" s="11" t="s">
        <v>216</v>
      </c>
      <c r="D28" s="11" t="s">
        <v>217</v>
      </c>
      <c r="E28" s="11" t="s">
        <v>218</v>
      </c>
    </row>
    <row r="29" ht="75" customHeight="1" spans="1:5">
      <c r="A29" s="20" t="s">
        <v>220</v>
      </c>
      <c r="B29" s="11" t="s">
        <v>222</v>
      </c>
      <c r="C29" s="11" t="s">
        <v>224</v>
      </c>
      <c r="D29" s="11" t="s">
        <v>225</v>
      </c>
      <c r="E29" s="11" t="s">
        <v>226</v>
      </c>
    </row>
    <row r="30" ht="75" customHeight="1" spans="1:5">
      <c r="A30" s="20" t="s">
        <v>228</v>
      </c>
      <c r="B30" s="11" t="s">
        <v>229</v>
      </c>
      <c r="C30" s="11" t="s">
        <v>231</v>
      </c>
      <c r="D30" s="11" t="s">
        <v>232</v>
      </c>
      <c r="E30" s="11" t="s">
        <v>233</v>
      </c>
    </row>
    <row r="31" ht="75" customHeight="1" spans="1:5">
      <c r="A31" s="20" t="s">
        <v>236</v>
      </c>
      <c r="B31" s="11" t="s">
        <v>237</v>
      </c>
      <c r="C31" s="11" t="s">
        <v>239</v>
      </c>
      <c r="D31" s="11" t="s">
        <v>240</v>
      </c>
      <c r="E31" s="11" t="s">
        <v>241</v>
      </c>
    </row>
    <row r="32" ht="75" customHeight="1" spans="1:5">
      <c r="A32" s="20" t="s">
        <v>242</v>
      </c>
      <c r="B32" s="11" t="s">
        <v>243</v>
      </c>
      <c r="C32" s="11" t="s">
        <v>245</v>
      </c>
      <c r="D32" s="11" t="s">
        <v>246</v>
      </c>
      <c r="E32" s="11" t="s">
        <v>247</v>
      </c>
    </row>
    <row r="33" ht="75" customHeight="1" spans="1:5">
      <c r="A33" s="20" t="s">
        <v>248</v>
      </c>
      <c r="B33" s="11" t="s">
        <v>249</v>
      </c>
      <c r="C33" s="11" t="s">
        <v>250</v>
      </c>
      <c r="D33" s="11" t="s">
        <v>251</v>
      </c>
      <c r="E33" s="11" t="s">
        <v>252</v>
      </c>
    </row>
    <row r="34" ht="75" customHeight="1" spans="1:5">
      <c r="A34" s="20" t="s">
        <v>253</v>
      </c>
      <c r="B34" s="11" t="s">
        <v>254</v>
      </c>
      <c r="C34" s="11" t="s">
        <v>255</v>
      </c>
      <c r="D34" s="11" t="s">
        <v>256</v>
      </c>
      <c r="E34" s="11" t="s">
        <v>257</v>
      </c>
    </row>
    <row r="35" ht="75" customHeight="1" spans="1:5">
      <c r="A35" s="20" t="s">
        <v>258</v>
      </c>
      <c r="B35" s="11" t="s">
        <v>259</v>
      </c>
      <c r="C35" s="11" t="s">
        <v>260</v>
      </c>
      <c r="D35" s="11" t="s">
        <v>261</v>
      </c>
      <c r="E35" s="11" t="s">
        <v>262</v>
      </c>
    </row>
    <row r="36" ht="75" customHeight="1" spans="1:5">
      <c r="A36" s="20" t="s">
        <v>263</v>
      </c>
      <c r="B36" s="11" t="s">
        <v>264</v>
      </c>
      <c r="C36" s="11" t="s">
        <v>266</v>
      </c>
      <c r="D36" s="11" t="s">
        <v>225</v>
      </c>
      <c r="E36" s="11" t="s">
        <v>267</v>
      </c>
    </row>
    <row r="37" ht="75" customHeight="1" spans="1:5">
      <c r="A37" s="20" t="s">
        <v>268</v>
      </c>
      <c r="B37" s="11" t="s">
        <v>269</v>
      </c>
      <c r="C37" s="11" t="s">
        <v>270</v>
      </c>
      <c r="D37" s="11" t="s">
        <v>271</v>
      </c>
      <c r="E37" s="11" t="s">
        <v>272</v>
      </c>
    </row>
    <row r="38" ht="75" customHeight="1" spans="1:5">
      <c r="A38" s="20" t="s">
        <v>273</v>
      </c>
      <c r="B38" s="11" t="s">
        <v>274</v>
      </c>
      <c r="C38" s="11" t="s">
        <v>276</v>
      </c>
      <c r="D38" s="11" t="s">
        <v>277</v>
      </c>
      <c r="E38" s="11" t="s">
        <v>278</v>
      </c>
    </row>
    <row r="39" ht="75" customHeight="1" spans="1:5">
      <c r="A39" s="20" t="s">
        <v>280</v>
      </c>
      <c r="B39" s="11" t="s">
        <v>281</v>
      </c>
      <c r="C39" s="11" t="s">
        <v>282</v>
      </c>
      <c r="D39" s="11" t="s">
        <v>283</v>
      </c>
      <c r="E39" s="11" t="s">
        <v>284</v>
      </c>
    </row>
    <row r="40" ht="75" customHeight="1" spans="1:5">
      <c r="A40" s="20" t="s">
        <v>285</v>
      </c>
      <c r="B40" s="11" t="s">
        <v>286</v>
      </c>
      <c r="C40" s="11" t="s">
        <v>216</v>
      </c>
      <c r="D40" s="11" t="s">
        <v>287</v>
      </c>
      <c r="E40" s="11" t="s">
        <v>288</v>
      </c>
    </row>
    <row r="41" ht="75" customHeight="1" spans="1:5">
      <c r="A41" s="20" t="s">
        <v>289</v>
      </c>
      <c r="B41" s="11" t="s">
        <v>290</v>
      </c>
      <c r="C41" s="11" t="s">
        <v>292</v>
      </c>
      <c r="D41" s="11" t="s">
        <v>287</v>
      </c>
      <c r="E41" s="11" t="s">
        <v>293</v>
      </c>
    </row>
    <row r="42" ht="75" customHeight="1" spans="1:5">
      <c r="A42" s="20" t="s">
        <v>294</v>
      </c>
      <c r="B42" s="11" t="s">
        <v>295</v>
      </c>
      <c r="C42" s="11" t="s">
        <v>297</v>
      </c>
      <c r="D42" s="11" t="s">
        <v>298</v>
      </c>
      <c r="E42" s="11" t="s">
        <v>299</v>
      </c>
    </row>
    <row r="43" ht="75" customHeight="1" spans="1:5">
      <c r="A43" s="20" t="s">
        <v>300</v>
      </c>
      <c r="B43" s="11" t="s">
        <v>301</v>
      </c>
      <c r="C43" s="11" t="s">
        <v>303</v>
      </c>
      <c r="D43" s="11" t="s">
        <v>304</v>
      </c>
      <c r="E43" s="11" t="s">
        <v>305</v>
      </c>
    </row>
    <row r="44" ht="75" customHeight="1" spans="1:5">
      <c r="A44" s="20" t="s">
        <v>308</v>
      </c>
      <c r="B44" s="11" t="s">
        <v>309</v>
      </c>
      <c r="C44" s="11" t="s">
        <v>311</v>
      </c>
      <c r="D44" s="11" t="s">
        <v>312</v>
      </c>
      <c r="E44" s="11" t="s">
        <v>313</v>
      </c>
    </row>
    <row r="45" ht="75" customHeight="1" spans="1:5">
      <c r="A45" s="20" t="s">
        <v>315</v>
      </c>
      <c r="B45" s="11" t="s">
        <v>316</v>
      </c>
      <c r="C45" s="11" t="s">
        <v>318</v>
      </c>
      <c r="D45" s="11" t="s">
        <v>225</v>
      </c>
      <c r="E45" s="11" t="s">
        <v>319</v>
      </c>
    </row>
    <row r="46" ht="75" customHeight="1" spans="1:5">
      <c r="A46" s="20" t="s">
        <v>320</v>
      </c>
      <c r="B46" s="11" t="s">
        <v>321</v>
      </c>
      <c r="C46" s="11" t="s">
        <v>323</v>
      </c>
      <c r="D46" s="11" t="s">
        <v>225</v>
      </c>
      <c r="E46" s="11" t="s">
        <v>324</v>
      </c>
    </row>
    <row r="47" ht="75" customHeight="1" spans="1:5">
      <c r="A47" s="20" t="s">
        <v>325</v>
      </c>
      <c r="B47" s="11" t="s">
        <v>326</v>
      </c>
      <c r="C47" s="11" t="s">
        <v>327</v>
      </c>
      <c r="D47" s="11" t="s">
        <v>328</v>
      </c>
      <c r="E47" s="11" t="s">
        <v>329</v>
      </c>
    </row>
    <row r="48" ht="75" customHeight="1" spans="1:5">
      <c r="A48" s="20" t="s">
        <v>330</v>
      </c>
      <c r="B48" s="11" t="s">
        <v>331</v>
      </c>
      <c r="C48" s="11" t="s">
        <v>333</v>
      </c>
      <c r="D48" s="11" t="s">
        <v>334</v>
      </c>
      <c r="E48" s="11" t="s">
        <v>335</v>
      </c>
    </row>
    <row r="49" ht="75" customHeight="1" spans="1:5">
      <c r="A49" s="20" t="s">
        <v>336</v>
      </c>
      <c r="B49" s="11" t="s">
        <v>337</v>
      </c>
      <c r="C49" s="11" t="s">
        <v>338</v>
      </c>
      <c r="D49" s="11" t="s">
        <v>211</v>
      </c>
      <c r="E49" s="11" t="s">
        <v>339</v>
      </c>
    </row>
    <row r="50" ht="75" customHeight="1" spans="1:5">
      <c r="A50" s="20" t="s">
        <v>340</v>
      </c>
      <c r="B50" s="11" t="s">
        <v>341</v>
      </c>
      <c r="C50" s="11" t="s">
        <v>343</v>
      </c>
      <c r="D50" s="11" t="s">
        <v>211</v>
      </c>
      <c r="E50" s="11" t="s">
        <v>344</v>
      </c>
    </row>
    <row r="51" ht="75" customHeight="1" spans="1:5">
      <c r="A51" s="20" t="s">
        <v>345</v>
      </c>
      <c r="B51" s="11" t="s">
        <v>346</v>
      </c>
      <c r="C51" s="11" t="s">
        <v>348</v>
      </c>
      <c r="D51" s="11" t="s">
        <v>211</v>
      </c>
      <c r="E51" s="11" t="s">
        <v>349</v>
      </c>
    </row>
    <row r="52" ht="75" customHeight="1" spans="1:5">
      <c r="A52" s="20" t="s">
        <v>350</v>
      </c>
      <c r="B52" s="11" t="s">
        <v>352</v>
      </c>
      <c r="C52" s="11" t="s">
        <v>354</v>
      </c>
      <c r="D52" s="11" t="s">
        <v>211</v>
      </c>
      <c r="E52" s="11" t="s">
        <v>355</v>
      </c>
    </row>
    <row r="53" ht="75" customHeight="1" spans="1:5">
      <c r="A53" s="20" t="s">
        <v>357</v>
      </c>
      <c r="B53" s="11" t="s">
        <v>358</v>
      </c>
      <c r="C53" s="11" t="s">
        <v>360</v>
      </c>
      <c r="D53" s="11" t="s">
        <v>211</v>
      </c>
      <c r="E53" s="11" t="s">
        <v>361</v>
      </c>
    </row>
    <row r="54" ht="75" customHeight="1" spans="1:5">
      <c r="A54" s="20" t="s">
        <v>362</v>
      </c>
      <c r="B54" s="11" t="s">
        <v>363</v>
      </c>
      <c r="C54" s="11" t="s">
        <v>365</v>
      </c>
      <c r="D54" s="11" t="s">
        <v>211</v>
      </c>
      <c r="E54" s="11" t="s">
        <v>366</v>
      </c>
    </row>
    <row r="55" ht="75" customHeight="1" spans="1:5">
      <c r="A55" s="20" t="s">
        <v>367</v>
      </c>
      <c r="B55" s="11" t="s">
        <v>368</v>
      </c>
      <c r="C55" s="11" t="s">
        <v>369</v>
      </c>
      <c r="D55" s="11" t="s">
        <v>211</v>
      </c>
      <c r="E55" s="11" t="s">
        <v>370</v>
      </c>
    </row>
    <row r="56" ht="75" customHeight="1" spans="1:5">
      <c r="A56" s="20" t="s">
        <v>371</v>
      </c>
      <c r="B56" s="11" t="s">
        <v>372</v>
      </c>
      <c r="C56" s="11" t="s">
        <v>374</v>
      </c>
      <c r="D56" s="11" t="s">
        <v>211</v>
      </c>
      <c r="E56" s="11" t="s">
        <v>375</v>
      </c>
    </row>
    <row r="57" ht="75" customHeight="1" spans="1:5">
      <c r="A57" s="20" t="s">
        <v>376</v>
      </c>
      <c r="B57" s="11" t="s">
        <v>377</v>
      </c>
      <c r="C57" s="11" t="s">
        <v>379</v>
      </c>
      <c r="D57" s="11" t="s">
        <v>380</v>
      </c>
      <c r="E57" s="11" t="s">
        <v>381</v>
      </c>
    </row>
    <row r="58" ht="75" customHeight="1" spans="1:5">
      <c r="A58" s="20" t="s">
        <v>382</v>
      </c>
      <c r="B58" s="11" t="s">
        <v>383</v>
      </c>
      <c r="C58" s="11" t="s">
        <v>385</v>
      </c>
      <c r="D58" s="11" t="s">
        <v>211</v>
      </c>
      <c r="E58" s="11" t="s">
        <v>386</v>
      </c>
    </row>
    <row r="59" ht="75" customHeight="1" spans="1:5">
      <c r="A59" s="20" t="s">
        <v>387</v>
      </c>
      <c r="B59" s="11" t="s">
        <v>388</v>
      </c>
      <c r="C59" s="11" t="s">
        <v>389</v>
      </c>
      <c r="D59" s="11" t="s">
        <v>211</v>
      </c>
      <c r="E59" s="11" t="s">
        <v>390</v>
      </c>
    </row>
    <row r="60" ht="75" customHeight="1" spans="1:5">
      <c r="A60" s="20" t="s">
        <v>394</v>
      </c>
      <c r="B60" s="11" t="s">
        <v>395</v>
      </c>
      <c r="C60" s="11" t="s">
        <v>397</v>
      </c>
      <c r="D60" s="11" t="s">
        <v>398</v>
      </c>
      <c r="E60" s="11" t="s">
        <v>399</v>
      </c>
    </row>
    <row r="61" ht="75" customHeight="1" spans="1:5">
      <c r="A61" s="20" t="s">
        <v>401</v>
      </c>
      <c r="B61" s="11" t="s">
        <v>402</v>
      </c>
      <c r="C61" s="11" t="s">
        <v>404</v>
      </c>
      <c r="D61" s="11" t="s">
        <v>405</v>
      </c>
      <c r="E61" s="11" t="s">
        <v>406</v>
      </c>
    </row>
    <row r="62" ht="75" customHeight="1" spans="1:5">
      <c r="A62" s="20" t="s">
        <v>407</v>
      </c>
      <c r="B62" s="11" t="s">
        <v>408</v>
      </c>
      <c r="C62" s="11" t="s">
        <v>410</v>
      </c>
      <c r="D62" s="11" t="s">
        <v>225</v>
      </c>
      <c r="E62" s="11" t="s">
        <v>411</v>
      </c>
    </row>
    <row r="63" ht="75" customHeight="1" spans="1:5">
      <c r="A63" s="20" t="s">
        <v>413</v>
      </c>
      <c r="B63" s="11" t="s">
        <v>414</v>
      </c>
      <c r="C63" s="11" t="s">
        <v>416</v>
      </c>
      <c r="D63" s="11" t="s">
        <v>417</v>
      </c>
      <c r="E63" s="11" t="s">
        <v>418</v>
      </c>
    </row>
    <row r="64" ht="75" customHeight="1" spans="1:5">
      <c r="A64" s="20" t="s">
        <v>419</v>
      </c>
      <c r="B64" s="11" t="s">
        <v>420</v>
      </c>
      <c r="C64" s="11" t="s">
        <v>422</v>
      </c>
      <c r="D64" s="11" t="s">
        <v>423</v>
      </c>
      <c r="E64" s="11" t="s">
        <v>424</v>
      </c>
    </row>
    <row r="65" ht="75" customHeight="1" spans="1:5">
      <c r="A65" s="20" t="s">
        <v>426</v>
      </c>
      <c r="B65" s="11" t="s">
        <v>427</v>
      </c>
      <c r="C65" s="11" t="s">
        <v>429</v>
      </c>
      <c r="D65" s="11" t="s">
        <v>79</v>
      </c>
      <c r="E65" s="11" t="s">
        <v>430</v>
      </c>
    </row>
    <row r="66" ht="75" customHeight="1" spans="1:5">
      <c r="A66" s="20" t="s">
        <v>431</v>
      </c>
      <c r="B66" s="11" t="s">
        <v>432</v>
      </c>
      <c r="C66" s="11" t="s">
        <v>433</v>
      </c>
      <c r="D66" s="11" t="s">
        <v>434</v>
      </c>
      <c r="E66" s="11" t="s">
        <v>435</v>
      </c>
    </row>
    <row r="67" ht="75" customHeight="1" spans="1:5">
      <c r="A67" s="20" t="s">
        <v>436</v>
      </c>
      <c r="B67" s="11" t="s">
        <v>437</v>
      </c>
      <c r="C67" s="11" t="s">
        <v>439</v>
      </c>
      <c r="D67" s="11" t="s">
        <v>417</v>
      </c>
      <c r="E67" s="11" t="s">
        <v>440</v>
      </c>
    </row>
    <row r="68" ht="75" customHeight="1" spans="1:5">
      <c r="A68" s="20" t="s">
        <v>441</v>
      </c>
      <c r="B68" s="11" t="s">
        <v>442</v>
      </c>
      <c r="C68" s="11" t="s">
        <v>444</v>
      </c>
      <c r="D68" s="11" t="s">
        <v>211</v>
      </c>
      <c r="E68" s="11" t="s">
        <v>445</v>
      </c>
    </row>
    <row r="69" ht="75" customHeight="1" spans="1:5">
      <c r="A69" s="20" t="s">
        <v>446</v>
      </c>
      <c r="B69" s="11" t="s">
        <v>447</v>
      </c>
      <c r="C69" s="11" t="s">
        <v>449</v>
      </c>
      <c r="D69" s="11" t="s">
        <v>211</v>
      </c>
      <c r="E69" s="11" t="s">
        <v>450</v>
      </c>
    </row>
    <row r="70" ht="75" customHeight="1" spans="1:5">
      <c r="A70" s="20" t="s">
        <v>451</v>
      </c>
      <c r="B70" s="11" t="s">
        <v>452</v>
      </c>
      <c r="C70" s="11" t="s">
        <v>454</v>
      </c>
      <c r="D70" s="11" t="s">
        <v>455</v>
      </c>
      <c r="E70" s="11" t="s">
        <v>456</v>
      </c>
    </row>
    <row r="71" ht="75" customHeight="1" spans="1:5">
      <c r="A71" s="20" t="s">
        <v>457</v>
      </c>
      <c r="B71" s="11" t="s">
        <v>458</v>
      </c>
      <c r="C71" s="11" t="s">
        <v>460</v>
      </c>
      <c r="D71" s="11" t="s">
        <v>461</v>
      </c>
      <c r="E71" s="11" t="s">
        <v>462</v>
      </c>
    </row>
    <row r="72" ht="75" customHeight="1" spans="1:5">
      <c r="A72" s="20" t="s">
        <v>463</v>
      </c>
      <c r="B72" s="11" t="s">
        <v>464</v>
      </c>
      <c r="C72" s="11" t="s">
        <v>466</v>
      </c>
      <c r="D72" s="11" t="s">
        <v>467</v>
      </c>
      <c r="E72" s="11" t="s">
        <v>468</v>
      </c>
    </row>
    <row r="73" ht="75" customHeight="1" spans="1:5">
      <c r="A73" s="20" t="s">
        <v>469</v>
      </c>
      <c r="B73" s="11" t="s">
        <v>470</v>
      </c>
      <c r="C73" s="11" t="s">
        <v>472</v>
      </c>
      <c r="D73" s="11" t="s">
        <v>473</v>
      </c>
      <c r="E73" s="11" t="s">
        <v>474</v>
      </c>
    </row>
    <row r="74" ht="75" customHeight="1" spans="1:5">
      <c r="A74" s="20" t="s">
        <v>475</v>
      </c>
      <c r="B74" s="11" t="s">
        <v>476</v>
      </c>
      <c r="C74" s="11" t="s">
        <v>477</v>
      </c>
      <c r="D74" s="11" t="s">
        <v>478</v>
      </c>
      <c r="E74" s="11" t="s">
        <v>479</v>
      </c>
    </row>
    <row r="75" ht="75" customHeight="1" spans="1:5">
      <c r="A75" s="20" t="s">
        <v>480</v>
      </c>
      <c r="B75" s="11" t="s">
        <v>481</v>
      </c>
      <c r="C75" s="11" t="s">
        <v>483</v>
      </c>
      <c r="D75" s="11" t="s">
        <v>484</v>
      </c>
      <c r="E75" s="11" t="s">
        <v>485</v>
      </c>
    </row>
    <row r="76" ht="75" customHeight="1" spans="1:5">
      <c r="A76" s="20" t="s">
        <v>486</v>
      </c>
      <c r="B76" s="11" t="s">
        <v>487</v>
      </c>
      <c r="C76" s="11" t="s">
        <v>489</v>
      </c>
      <c r="D76" s="11" t="s">
        <v>490</v>
      </c>
      <c r="E76" s="11" t="s">
        <v>491</v>
      </c>
    </row>
    <row r="77" ht="75" customHeight="1" spans="1:5">
      <c r="A77" s="20" t="s">
        <v>492</v>
      </c>
      <c r="B77" s="11" t="s">
        <v>493</v>
      </c>
      <c r="C77" s="11" t="s">
        <v>495</v>
      </c>
      <c r="D77" s="11" t="s">
        <v>496</v>
      </c>
      <c r="E77" s="11" t="s">
        <v>497</v>
      </c>
    </row>
    <row r="78" ht="75" customHeight="1" spans="1:5">
      <c r="A78" s="20" t="s">
        <v>499</v>
      </c>
      <c r="B78" s="11" t="s">
        <v>500</v>
      </c>
      <c r="C78" s="11" t="s">
        <v>502</v>
      </c>
      <c r="D78" s="11" t="s">
        <v>503</v>
      </c>
      <c r="E78" s="11" t="s">
        <v>504</v>
      </c>
    </row>
    <row r="79" ht="75" customHeight="1" spans="1:5">
      <c r="A79" s="20" t="s">
        <v>505</v>
      </c>
      <c r="B79" s="11" t="s">
        <v>506</v>
      </c>
      <c r="C79" s="11" t="s">
        <v>508</v>
      </c>
      <c r="D79" s="11" t="s">
        <v>509</v>
      </c>
      <c r="E79" s="11" t="s">
        <v>510</v>
      </c>
    </row>
    <row r="80" ht="75" customHeight="1" spans="1:5">
      <c r="A80" s="20" t="s">
        <v>511</v>
      </c>
      <c r="B80" s="11" t="s">
        <v>512</v>
      </c>
      <c r="C80" s="11" t="s">
        <v>513</v>
      </c>
      <c r="D80" s="11" t="s">
        <v>514</v>
      </c>
      <c r="E80" s="11" t="s">
        <v>515</v>
      </c>
    </row>
    <row r="81" ht="75" customHeight="1" spans="1:5">
      <c r="A81" s="20" t="s">
        <v>516</v>
      </c>
      <c r="B81" s="11" t="s">
        <v>517</v>
      </c>
      <c r="C81" s="11" t="s">
        <v>518</v>
      </c>
      <c r="D81" s="11" t="s">
        <v>519</v>
      </c>
      <c r="E81" s="11" t="s">
        <v>520</v>
      </c>
    </row>
    <row r="82" ht="75" customHeight="1" spans="1:5">
      <c r="A82" s="20" t="s">
        <v>521</v>
      </c>
      <c r="B82" s="11" t="s">
        <v>522</v>
      </c>
      <c r="C82" s="11" t="s">
        <v>523</v>
      </c>
      <c r="D82" s="11" t="s">
        <v>211</v>
      </c>
      <c r="E82" s="11" t="s">
        <v>524</v>
      </c>
    </row>
    <row r="83" ht="75" customHeight="1" spans="1:5">
      <c r="A83" s="20" t="s">
        <v>525</v>
      </c>
      <c r="B83" s="11" t="s">
        <v>526</v>
      </c>
      <c r="C83" s="11" t="s">
        <v>527</v>
      </c>
      <c r="D83" s="11" t="s">
        <v>211</v>
      </c>
      <c r="E83" s="11" t="s">
        <v>528</v>
      </c>
    </row>
    <row r="84" ht="75" customHeight="1" spans="1:5">
      <c r="A84" s="20" t="s">
        <v>529</v>
      </c>
      <c r="B84" s="11" t="s">
        <v>530</v>
      </c>
      <c r="C84" s="11" t="s">
        <v>532</v>
      </c>
      <c r="D84" s="11" t="s">
        <v>533</v>
      </c>
      <c r="E84" s="11" t="s">
        <v>288</v>
      </c>
    </row>
    <row r="85" ht="75" customHeight="1" spans="1:5">
      <c r="A85" s="20" t="s">
        <v>534</v>
      </c>
      <c r="B85" s="11" t="s">
        <v>535</v>
      </c>
      <c r="C85" s="11" t="s">
        <v>536</v>
      </c>
      <c r="D85" s="11" t="s">
        <v>417</v>
      </c>
      <c r="E85" s="11" t="s">
        <v>537</v>
      </c>
    </row>
    <row r="86" ht="75" customHeight="1" spans="1:5">
      <c r="A86" s="20" t="s">
        <v>539</v>
      </c>
      <c r="B86" s="11" t="s">
        <v>540</v>
      </c>
      <c r="C86" s="11" t="s">
        <v>541</v>
      </c>
      <c r="D86" s="11" t="s">
        <v>542</v>
      </c>
      <c r="E86" s="11" t="s">
        <v>543</v>
      </c>
    </row>
    <row r="87" ht="75" customHeight="1" spans="1:5">
      <c r="A87" s="20" t="s">
        <v>544</v>
      </c>
      <c r="B87" s="11" t="s">
        <v>545</v>
      </c>
      <c r="C87" s="11" t="s">
        <v>546</v>
      </c>
      <c r="D87" s="11" t="s">
        <v>547</v>
      </c>
      <c r="E87" s="11" t="s">
        <v>548</v>
      </c>
    </row>
    <row r="88" ht="75" customHeight="1" spans="1:5">
      <c r="A88" s="20" t="s">
        <v>549</v>
      </c>
      <c r="B88" s="11" t="s">
        <v>551</v>
      </c>
      <c r="C88" s="11" t="s">
        <v>553</v>
      </c>
      <c r="D88" s="11" t="s">
        <v>554</v>
      </c>
      <c r="E88" s="11" t="s">
        <v>555</v>
      </c>
    </row>
    <row r="89" ht="75" customHeight="1" spans="1:5">
      <c r="A89" s="20" t="s">
        <v>556</v>
      </c>
      <c r="B89" s="11" t="s">
        <v>557</v>
      </c>
      <c r="C89" s="11" t="s">
        <v>559</v>
      </c>
      <c r="D89" s="11" t="s">
        <v>560</v>
      </c>
      <c r="E89" s="11" t="s">
        <v>561</v>
      </c>
    </row>
    <row r="90" ht="75" customHeight="1" spans="1:5">
      <c r="A90" s="20" t="s">
        <v>562</v>
      </c>
      <c r="B90" s="11" t="s">
        <v>563</v>
      </c>
      <c r="C90" s="11" t="s">
        <v>565</v>
      </c>
      <c r="D90" s="11" t="s">
        <v>566</v>
      </c>
      <c r="E90" s="11" t="s">
        <v>567</v>
      </c>
    </row>
    <row r="91" ht="75" customHeight="1" spans="1:5">
      <c r="A91" s="20" t="s">
        <v>569</v>
      </c>
      <c r="B91" s="11" t="s">
        <v>570</v>
      </c>
      <c r="C91" s="11" t="s">
        <v>572</v>
      </c>
      <c r="D91" s="11" t="s">
        <v>573</v>
      </c>
      <c r="E91" s="11" t="s">
        <v>574</v>
      </c>
    </row>
    <row r="92" ht="75" customHeight="1" spans="1:5">
      <c r="A92" s="20" t="s">
        <v>576</v>
      </c>
      <c r="B92" s="11" t="s">
        <v>577</v>
      </c>
      <c r="C92" s="11" t="s">
        <v>579</v>
      </c>
      <c r="D92" s="11" t="s">
        <v>580</v>
      </c>
      <c r="E92" s="11" t="s">
        <v>581</v>
      </c>
    </row>
    <row r="93" ht="75" customHeight="1" spans="1:5">
      <c r="A93" s="20" t="s">
        <v>582</v>
      </c>
      <c r="B93" s="11" t="s">
        <v>583</v>
      </c>
      <c r="C93" s="11" t="s">
        <v>584</v>
      </c>
      <c r="D93" s="11" t="s">
        <v>585</v>
      </c>
      <c r="E93" s="11" t="s">
        <v>586</v>
      </c>
    </row>
    <row r="94" ht="75" customHeight="1" spans="1:5">
      <c r="A94" s="20" t="s">
        <v>587</v>
      </c>
      <c r="B94" s="11" t="s">
        <v>588</v>
      </c>
      <c r="C94" s="11" t="s">
        <v>590</v>
      </c>
      <c r="D94" s="11" t="s">
        <v>591</v>
      </c>
      <c r="E94" s="11" t="s">
        <v>592</v>
      </c>
    </row>
    <row r="95" ht="75" customHeight="1" spans="1:5">
      <c r="A95" s="20" t="s">
        <v>593</v>
      </c>
      <c r="B95" s="11" t="s">
        <v>594</v>
      </c>
      <c r="C95" s="11" t="s">
        <v>596</v>
      </c>
      <c r="D95" s="11" t="s">
        <v>597</v>
      </c>
      <c r="E95" s="11" t="s">
        <v>598</v>
      </c>
    </row>
    <row r="96" ht="75" customHeight="1" spans="1:5">
      <c r="A96" s="20" t="s">
        <v>599</v>
      </c>
      <c r="B96" s="11" t="s">
        <v>600</v>
      </c>
      <c r="C96" s="11" t="s">
        <v>601</v>
      </c>
      <c r="D96" s="11" t="s">
        <v>602</v>
      </c>
      <c r="E96" s="11" t="s">
        <v>603</v>
      </c>
    </row>
    <row r="97" ht="75" customHeight="1" spans="1:5">
      <c r="A97" s="20" t="s">
        <v>604</v>
      </c>
      <c r="B97" s="11" t="s">
        <v>605</v>
      </c>
      <c r="C97" s="11" t="s">
        <v>607</v>
      </c>
      <c r="D97" s="11" t="s">
        <v>608</v>
      </c>
      <c r="E97" s="11" t="s">
        <v>609</v>
      </c>
    </row>
    <row r="98" ht="75" customHeight="1" spans="1:5">
      <c r="A98" s="20" t="s">
        <v>610</v>
      </c>
      <c r="B98" s="11" t="s">
        <v>611</v>
      </c>
      <c r="C98" s="11" t="s">
        <v>612</v>
      </c>
      <c r="D98" s="11" t="s">
        <v>613</v>
      </c>
      <c r="E98" s="11" t="s">
        <v>614</v>
      </c>
    </row>
    <row r="99" ht="75" customHeight="1" spans="1:5">
      <c r="A99" s="20" t="s">
        <v>615</v>
      </c>
      <c r="B99" s="11" t="s">
        <v>616</v>
      </c>
      <c r="C99" s="11" t="s">
        <v>618</v>
      </c>
      <c r="D99" s="11" t="s">
        <v>619</v>
      </c>
      <c r="E99" s="11" t="s">
        <v>620</v>
      </c>
    </row>
    <row r="100" ht="75" customHeight="1" spans="1:5">
      <c r="A100" s="20" t="s">
        <v>621</v>
      </c>
      <c r="B100" s="11" t="s">
        <v>622</v>
      </c>
      <c r="C100" s="11" t="s">
        <v>624</v>
      </c>
      <c r="D100" s="11" t="s">
        <v>625</v>
      </c>
      <c r="E100" s="11" t="s">
        <v>626</v>
      </c>
    </row>
    <row r="101" ht="75" customHeight="1" spans="1:5">
      <c r="A101" s="20" t="s">
        <v>628</v>
      </c>
      <c r="B101" s="11" t="s">
        <v>629</v>
      </c>
      <c r="C101" s="11" t="s">
        <v>631</v>
      </c>
      <c r="D101" s="11" t="s">
        <v>632</v>
      </c>
      <c r="E101" s="11" t="s">
        <v>633</v>
      </c>
    </row>
    <row r="102" ht="75" customHeight="1" spans="1:5">
      <c r="A102" s="20" t="s">
        <v>636</v>
      </c>
      <c r="B102" s="11" t="s">
        <v>637</v>
      </c>
      <c r="C102" s="11" t="s">
        <v>639</v>
      </c>
      <c r="D102" s="11" t="s">
        <v>640</v>
      </c>
      <c r="E102" s="11" t="s">
        <v>641</v>
      </c>
    </row>
    <row r="103" ht="75" customHeight="1" spans="1:5">
      <c r="A103" s="20" t="s">
        <v>642</v>
      </c>
      <c r="B103" s="11" t="s">
        <v>643</v>
      </c>
      <c r="C103" s="11" t="s">
        <v>645</v>
      </c>
      <c r="D103" s="11" t="s">
        <v>646</v>
      </c>
      <c r="E103" s="11" t="s">
        <v>647</v>
      </c>
    </row>
    <row r="104" ht="75" customHeight="1" spans="1:5">
      <c r="A104" s="20" t="s">
        <v>648</v>
      </c>
      <c r="B104" s="11" t="s">
        <v>649</v>
      </c>
      <c r="C104" s="11" t="s">
        <v>651</v>
      </c>
      <c r="D104" s="11" t="s">
        <v>652</v>
      </c>
      <c r="E104" s="11" t="s">
        <v>653</v>
      </c>
    </row>
    <row r="105" ht="75" customHeight="1" spans="1:5">
      <c r="A105" s="20" t="s">
        <v>654</v>
      </c>
      <c r="B105" s="11" t="s">
        <v>655</v>
      </c>
      <c r="C105" s="11" t="s">
        <v>656</v>
      </c>
      <c r="D105" s="11" t="s">
        <v>657</v>
      </c>
      <c r="E105" s="11" t="s">
        <v>658</v>
      </c>
    </row>
    <row r="106" ht="75" customHeight="1" spans="1:5">
      <c r="A106" s="20" t="s">
        <v>659</v>
      </c>
      <c r="B106" s="11" t="s">
        <v>660</v>
      </c>
      <c r="C106" s="11" t="s">
        <v>662</v>
      </c>
      <c r="D106" s="11" t="s">
        <v>663</v>
      </c>
      <c r="E106" s="11" t="s">
        <v>664</v>
      </c>
    </row>
    <row r="107" ht="75" customHeight="1" spans="1:5">
      <c r="A107" s="20" t="s">
        <v>665</v>
      </c>
      <c r="B107" s="11" t="s">
        <v>666</v>
      </c>
      <c r="C107" s="11" t="s">
        <v>668</v>
      </c>
      <c r="D107" s="11" t="s">
        <v>669</v>
      </c>
      <c r="E107" s="11" t="s">
        <v>670</v>
      </c>
    </row>
    <row r="108" ht="75" customHeight="1" spans="1:5">
      <c r="A108" s="20" t="s">
        <v>671</v>
      </c>
      <c r="B108" s="11" t="s">
        <v>672</v>
      </c>
      <c r="C108" s="11" t="s">
        <v>674</v>
      </c>
      <c r="D108" s="11" t="s">
        <v>675</v>
      </c>
      <c r="E108" s="11" t="s">
        <v>676</v>
      </c>
    </row>
    <row r="109" ht="75" customHeight="1" spans="1:5">
      <c r="A109" s="20" t="s">
        <v>678</v>
      </c>
      <c r="B109" s="11" t="s">
        <v>679</v>
      </c>
      <c r="C109" s="11" t="s">
        <v>681</v>
      </c>
      <c r="D109" s="11" t="s">
        <v>211</v>
      </c>
      <c r="E109" s="11" t="s">
        <v>682</v>
      </c>
    </row>
    <row r="110" ht="75" customHeight="1" spans="1:5">
      <c r="A110" s="20" t="s">
        <v>683</v>
      </c>
      <c r="B110" s="11" t="s">
        <v>684</v>
      </c>
      <c r="C110" s="11" t="s">
        <v>686</v>
      </c>
      <c r="D110" s="11" t="s">
        <v>687</v>
      </c>
      <c r="E110" s="11" t="s">
        <v>688</v>
      </c>
    </row>
    <row r="111" ht="75" customHeight="1" spans="1:5">
      <c r="A111" s="20" t="s">
        <v>689</v>
      </c>
      <c r="B111" s="11" t="s">
        <v>690</v>
      </c>
      <c r="C111" s="11" t="s">
        <v>692</v>
      </c>
      <c r="D111" s="11" t="s">
        <v>693</v>
      </c>
      <c r="E111" s="11" t="s">
        <v>694</v>
      </c>
    </row>
    <row r="112" ht="75" customHeight="1" spans="1:5">
      <c r="A112" s="20" t="s">
        <v>695</v>
      </c>
      <c r="B112" s="11" t="s">
        <v>696</v>
      </c>
      <c r="C112" s="11" t="s">
        <v>698</v>
      </c>
      <c r="D112" s="11" t="s">
        <v>699</v>
      </c>
      <c r="E112" s="11" t="s">
        <v>700</v>
      </c>
    </row>
    <row r="113" ht="75" customHeight="1" spans="1:5">
      <c r="A113" s="20" t="s">
        <v>701</v>
      </c>
      <c r="B113" s="11" t="s">
        <v>702</v>
      </c>
      <c r="C113" s="11" t="s">
        <v>704</v>
      </c>
      <c r="D113" s="11" t="s">
        <v>705</v>
      </c>
      <c r="E113" s="11" t="s">
        <v>706</v>
      </c>
    </row>
    <row r="114" ht="75" customHeight="1" spans="1:5">
      <c r="A114" s="20" t="s">
        <v>707</v>
      </c>
      <c r="B114" s="11" t="s">
        <v>708</v>
      </c>
      <c r="C114" s="11" t="s">
        <v>710</v>
      </c>
      <c r="D114" s="11" t="s">
        <v>711</v>
      </c>
      <c r="E114" s="11" t="s">
        <v>712</v>
      </c>
    </row>
    <row r="115" ht="75" customHeight="1" spans="1:5">
      <c r="A115" s="20" t="s">
        <v>713</v>
      </c>
      <c r="B115" s="11" t="s">
        <v>714</v>
      </c>
      <c r="C115" s="11" t="s">
        <v>716</v>
      </c>
      <c r="D115" s="11" t="s">
        <v>717</v>
      </c>
      <c r="E115" s="11" t="s">
        <v>718</v>
      </c>
    </row>
    <row r="116" ht="75" customHeight="1" spans="1:5">
      <c r="A116" s="20" t="s">
        <v>719</v>
      </c>
      <c r="B116" s="11" t="s">
        <v>720</v>
      </c>
      <c r="C116" s="11" t="s">
        <v>722</v>
      </c>
      <c r="D116" s="11" t="s">
        <v>699</v>
      </c>
      <c r="E116" s="11" t="s">
        <v>723</v>
      </c>
    </row>
    <row r="117" ht="75" customHeight="1" spans="1:5">
      <c r="A117" s="20" t="s">
        <v>724</v>
      </c>
      <c r="B117" s="11" t="s">
        <v>725</v>
      </c>
      <c r="C117" s="11" t="s">
        <v>727</v>
      </c>
      <c r="D117" s="11" t="s">
        <v>728</v>
      </c>
      <c r="E117" s="11" t="s">
        <v>729</v>
      </c>
    </row>
    <row r="118" ht="75" customHeight="1" spans="1:5">
      <c r="A118" s="20" t="s">
        <v>730</v>
      </c>
      <c r="B118" s="11" t="s">
        <v>731</v>
      </c>
      <c r="C118" s="11" t="s">
        <v>733</v>
      </c>
      <c r="D118" s="11" t="s">
        <v>211</v>
      </c>
      <c r="E118" s="11" t="s">
        <v>734</v>
      </c>
    </row>
    <row r="119" ht="75" customHeight="1" spans="1:5">
      <c r="A119" s="20" t="s">
        <v>735</v>
      </c>
      <c r="B119" s="11" t="s">
        <v>736</v>
      </c>
      <c r="C119" s="11" t="s">
        <v>738</v>
      </c>
      <c r="D119" s="11" t="s">
        <v>211</v>
      </c>
      <c r="E119" s="11" t="s">
        <v>739</v>
      </c>
    </row>
    <row r="120" ht="75" customHeight="1" spans="1:5">
      <c r="A120" s="20" t="s">
        <v>741</v>
      </c>
      <c r="B120" s="11" t="s">
        <v>742</v>
      </c>
      <c r="C120" s="11" t="s">
        <v>744</v>
      </c>
      <c r="D120" s="11" t="s">
        <v>211</v>
      </c>
      <c r="E120" s="11" t="s">
        <v>745</v>
      </c>
    </row>
    <row r="121" ht="75" customHeight="1" spans="1:5">
      <c r="A121" s="20" t="s">
        <v>746</v>
      </c>
      <c r="B121" s="11" t="s">
        <v>747</v>
      </c>
      <c r="C121" s="11" t="s">
        <v>749</v>
      </c>
      <c r="D121" s="11" t="s">
        <v>750</v>
      </c>
      <c r="E121" s="11" t="s">
        <v>751</v>
      </c>
    </row>
    <row r="122" ht="75" customHeight="1" spans="1:5">
      <c r="A122" s="20" t="s">
        <v>752</v>
      </c>
      <c r="B122" s="11" t="s">
        <v>753</v>
      </c>
      <c r="C122" s="11" t="s">
        <v>755</v>
      </c>
      <c r="D122" s="11" t="s">
        <v>211</v>
      </c>
      <c r="E122" s="11" t="s">
        <v>756</v>
      </c>
    </row>
    <row r="123" ht="75" customHeight="1" spans="1:5">
      <c r="A123" s="20" t="s">
        <v>757</v>
      </c>
      <c r="B123" s="11" t="s">
        <v>758</v>
      </c>
      <c r="C123" s="11" t="s">
        <v>760</v>
      </c>
      <c r="D123" s="11" t="s">
        <v>761</v>
      </c>
      <c r="E123" s="11" t="s">
        <v>762</v>
      </c>
    </row>
    <row r="124" ht="75" customHeight="1" spans="1:5">
      <c r="A124" s="20" t="s">
        <v>764</v>
      </c>
      <c r="B124" s="11" t="s">
        <v>765</v>
      </c>
      <c r="C124" s="11" t="s">
        <v>767</v>
      </c>
      <c r="D124" s="11" t="s">
        <v>768</v>
      </c>
      <c r="E124" s="11" t="s">
        <v>769</v>
      </c>
    </row>
    <row r="125" ht="75" customHeight="1" spans="1:5">
      <c r="A125" s="20" t="s">
        <v>770</v>
      </c>
      <c r="B125" s="11" t="s">
        <v>771</v>
      </c>
      <c r="C125" s="11" t="s">
        <v>773</v>
      </c>
      <c r="D125" s="11" t="s">
        <v>211</v>
      </c>
      <c r="E125" s="11" t="s">
        <v>774</v>
      </c>
    </row>
    <row r="126" ht="75" customHeight="1" spans="1:5">
      <c r="A126" s="20" t="s">
        <v>775</v>
      </c>
      <c r="B126" s="11" t="s">
        <v>776</v>
      </c>
      <c r="C126" s="11" t="s">
        <v>778</v>
      </c>
      <c r="D126" s="11" t="s">
        <v>728</v>
      </c>
      <c r="E126" s="11" t="s">
        <v>779</v>
      </c>
    </row>
    <row r="127" ht="75" customHeight="1" spans="1:5">
      <c r="A127" s="20" t="s">
        <v>780</v>
      </c>
      <c r="B127" s="11" t="s">
        <v>781</v>
      </c>
      <c r="C127" s="11" t="s">
        <v>783</v>
      </c>
      <c r="D127" s="11" t="s">
        <v>699</v>
      </c>
      <c r="E127" s="11" t="s">
        <v>784</v>
      </c>
    </row>
    <row r="128" ht="75" customHeight="1" spans="1:5">
      <c r="A128" s="20" t="s">
        <v>785</v>
      </c>
      <c r="B128" s="11" t="s">
        <v>786</v>
      </c>
      <c r="C128" s="11" t="s">
        <v>788</v>
      </c>
      <c r="D128" s="11" t="s">
        <v>211</v>
      </c>
      <c r="E128" s="11" t="s">
        <v>789</v>
      </c>
    </row>
    <row r="129" ht="75" customHeight="1" spans="1:5">
      <c r="A129" s="20" t="s">
        <v>790</v>
      </c>
      <c r="B129" s="11" t="s">
        <v>791</v>
      </c>
      <c r="C129" s="11" t="s">
        <v>792</v>
      </c>
      <c r="D129" s="11" t="s">
        <v>761</v>
      </c>
      <c r="E129" s="11" t="s">
        <v>793</v>
      </c>
    </row>
    <row r="130" ht="75" customHeight="1" spans="1:5">
      <c r="A130" s="20" t="s">
        <v>794</v>
      </c>
      <c r="B130" s="11" t="s">
        <v>795</v>
      </c>
      <c r="C130" s="11" t="s">
        <v>797</v>
      </c>
      <c r="D130" s="11" t="s">
        <v>798</v>
      </c>
      <c r="E130" s="11" t="s">
        <v>799</v>
      </c>
    </row>
    <row r="131" ht="75" customHeight="1" spans="1:5">
      <c r="A131" s="20" t="s">
        <v>800</v>
      </c>
      <c r="B131" s="11" t="s">
        <v>801</v>
      </c>
      <c r="C131" s="11" t="s">
        <v>803</v>
      </c>
      <c r="D131" s="11" t="s">
        <v>804</v>
      </c>
      <c r="E131" s="11" t="s">
        <v>805</v>
      </c>
    </row>
    <row r="132" ht="75" customHeight="1" spans="1:5">
      <c r="A132" s="20" t="s">
        <v>808</v>
      </c>
      <c r="B132" s="11" t="s">
        <v>809</v>
      </c>
      <c r="C132" s="11" t="s">
        <v>811</v>
      </c>
      <c r="D132" s="11" t="s">
        <v>812</v>
      </c>
      <c r="E132" s="11" t="s">
        <v>813</v>
      </c>
    </row>
    <row r="133" ht="75" customHeight="1" spans="1:5">
      <c r="A133" s="20" t="s">
        <v>815</v>
      </c>
      <c r="B133" s="11" t="s">
        <v>816</v>
      </c>
      <c r="C133" s="11" t="s">
        <v>818</v>
      </c>
      <c r="D133" s="11" t="s">
        <v>819</v>
      </c>
      <c r="E133" s="11" t="s">
        <v>820</v>
      </c>
    </row>
    <row r="134" ht="75" customHeight="1" spans="1:5">
      <c r="A134" s="20" t="s">
        <v>821</v>
      </c>
      <c r="B134" s="11" t="s">
        <v>822</v>
      </c>
      <c r="C134" s="11" t="s">
        <v>824</v>
      </c>
      <c r="D134" s="11" t="s">
        <v>825</v>
      </c>
      <c r="E134" s="11" t="s">
        <v>826</v>
      </c>
    </row>
    <row r="135" ht="75" customHeight="1" spans="1:5">
      <c r="A135" s="20" t="s">
        <v>827</v>
      </c>
      <c r="B135" s="11" t="s">
        <v>828</v>
      </c>
      <c r="C135" s="11" t="s">
        <v>830</v>
      </c>
      <c r="D135" s="11" t="s">
        <v>831</v>
      </c>
      <c r="E135" s="11" t="s">
        <v>832</v>
      </c>
    </row>
    <row r="136" ht="75" customHeight="1" spans="1:5">
      <c r="A136" s="20" t="s">
        <v>833</v>
      </c>
      <c r="B136" s="11" t="s">
        <v>834</v>
      </c>
      <c r="C136" s="11" t="s">
        <v>836</v>
      </c>
      <c r="D136" s="11" t="s">
        <v>837</v>
      </c>
      <c r="E136" s="11" t="s">
        <v>838</v>
      </c>
    </row>
    <row r="137" ht="75" customHeight="1" spans="1:5">
      <c r="A137" s="20" t="s">
        <v>839</v>
      </c>
      <c r="B137" s="11" t="s">
        <v>840</v>
      </c>
      <c r="C137" s="11" t="s">
        <v>842</v>
      </c>
      <c r="D137" s="11" t="s">
        <v>211</v>
      </c>
      <c r="E137" s="11" t="s">
        <v>843</v>
      </c>
    </row>
    <row r="138" ht="75" customHeight="1" spans="1:5">
      <c r="A138" s="20" t="s">
        <v>844</v>
      </c>
      <c r="B138" s="11" t="s">
        <v>845</v>
      </c>
      <c r="C138" s="11" t="s">
        <v>847</v>
      </c>
      <c r="D138" s="11" t="s">
        <v>211</v>
      </c>
      <c r="E138" s="11" t="s">
        <v>848</v>
      </c>
    </row>
    <row r="139" ht="75" customHeight="1" spans="1:5">
      <c r="A139" s="20" t="s">
        <v>849</v>
      </c>
      <c r="B139" s="11" t="s">
        <v>850</v>
      </c>
      <c r="C139" s="11" t="s">
        <v>852</v>
      </c>
      <c r="D139" s="11" t="s">
        <v>211</v>
      </c>
      <c r="E139" s="11" t="s">
        <v>853</v>
      </c>
    </row>
    <row r="140" ht="75" customHeight="1" spans="1:5">
      <c r="A140" s="20" t="s">
        <v>854</v>
      </c>
      <c r="B140" s="11" t="s">
        <v>855</v>
      </c>
      <c r="C140" s="11" t="s">
        <v>857</v>
      </c>
      <c r="D140" s="11" t="s">
        <v>211</v>
      </c>
      <c r="E140" s="11" t="s">
        <v>858</v>
      </c>
    </row>
    <row r="141" ht="75" customHeight="1" spans="1:5">
      <c r="A141" s="20" t="s">
        <v>859</v>
      </c>
      <c r="B141" s="11" t="s">
        <v>860</v>
      </c>
      <c r="C141" s="11" t="s">
        <v>862</v>
      </c>
      <c r="D141" s="11" t="s">
        <v>863</v>
      </c>
      <c r="E141" s="11" t="s">
        <v>864</v>
      </c>
    </row>
    <row r="142" ht="75" customHeight="1" spans="1:5">
      <c r="A142" s="20" t="s">
        <v>865</v>
      </c>
      <c r="B142" s="11" t="s">
        <v>866</v>
      </c>
      <c r="C142" s="11" t="s">
        <v>868</v>
      </c>
      <c r="D142" s="11" t="s">
        <v>869</v>
      </c>
      <c r="E142" s="11" t="s">
        <v>870</v>
      </c>
    </row>
    <row r="143" ht="75" customHeight="1" spans="1:5">
      <c r="A143" s="20" t="s">
        <v>871</v>
      </c>
      <c r="B143" s="11" t="s">
        <v>872</v>
      </c>
      <c r="C143" s="11" t="s">
        <v>874</v>
      </c>
      <c r="D143" s="11" t="s">
        <v>875</v>
      </c>
      <c r="E143" s="11" t="s">
        <v>876</v>
      </c>
    </row>
    <row r="144" ht="75" customHeight="1" spans="1:5">
      <c r="A144" s="20" t="s">
        <v>877</v>
      </c>
      <c r="B144" s="11" t="s">
        <v>878</v>
      </c>
      <c r="C144" s="11" t="s">
        <v>880</v>
      </c>
      <c r="D144" s="11" t="s">
        <v>875</v>
      </c>
      <c r="E144" s="11" t="s">
        <v>881</v>
      </c>
    </row>
    <row r="145" ht="75" customHeight="1" spans="1:5">
      <c r="A145" s="20" t="s">
        <v>882</v>
      </c>
      <c r="B145" s="11" t="s">
        <v>883</v>
      </c>
      <c r="C145" s="11" t="s">
        <v>885</v>
      </c>
      <c r="D145" s="11" t="s">
        <v>886</v>
      </c>
      <c r="E145" s="11" t="s">
        <v>887</v>
      </c>
    </row>
    <row r="146" ht="75" customHeight="1" spans="1:5">
      <c r="A146" s="20" t="s">
        <v>888</v>
      </c>
      <c r="B146" s="11" t="s">
        <v>889</v>
      </c>
      <c r="C146" s="11" t="s">
        <v>891</v>
      </c>
      <c r="D146" s="11" t="s">
        <v>892</v>
      </c>
      <c r="E146" s="11" t="s">
        <v>893</v>
      </c>
    </row>
    <row r="147" ht="75" customHeight="1" spans="1:5">
      <c r="A147" s="20" t="s">
        <v>894</v>
      </c>
      <c r="B147" s="11" t="s">
        <v>895</v>
      </c>
      <c r="C147" s="11" t="s">
        <v>897</v>
      </c>
      <c r="D147" s="11" t="s">
        <v>898</v>
      </c>
      <c r="E147" s="11" t="s">
        <v>899</v>
      </c>
    </row>
    <row r="148" ht="75" customHeight="1" spans="1:5">
      <c r="A148" s="20" t="s">
        <v>900</v>
      </c>
      <c r="B148" s="11" t="s">
        <v>901</v>
      </c>
      <c r="C148" s="11" t="s">
        <v>903</v>
      </c>
      <c r="D148" s="11" t="s">
        <v>211</v>
      </c>
      <c r="E148" s="11" t="s">
        <v>904</v>
      </c>
    </row>
    <row r="149" ht="75" customHeight="1" spans="1:5">
      <c r="A149" s="20" t="s">
        <v>905</v>
      </c>
      <c r="B149" s="11" t="s">
        <v>906</v>
      </c>
      <c r="C149" s="11" t="s">
        <v>908</v>
      </c>
      <c r="D149" s="11" t="s">
        <v>909</v>
      </c>
      <c r="E149" s="11" t="s">
        <v>910</v>
      </c>
    </row>
    <row r="150" ht="75" customHeight="1" spans="1:5">
      <c r="A150" s="20" t="s">
        <v>911</v>
      </c>
      <c r="B150" s="11" t="s">
        <v>912</v>
      </c>
      <c r="C150" s="11" t="s">
        <v>914</v>
      </c>
      <c r="D150" s="11" t="s">
        <v>915</v>
      </c>
      <c r="E150" s="11" t="s">
        <v>916</v>
      </c>
    </row>
    <row r="151" ht="75" customHeight="1" spans="1:5">
      <c r="A151" s="20" t="s">
        <v>917</v>
      </c>
      <c r="B151" s="11" t="s">
        <v>918</v>
      </c>
      <c r="C151" s="11" t="s">
        <v>920</v>
      </c>
      <c r="D151" s="11" t="s">
        <v>921</v>
      </c>
      <c r="E151" s="11" t="s">
        <v>922</v>
      </c>
    </row>
    <row r="152" ht="75" customHeight="1" spans="1:5">
      <c r="A152" s="20" t="s">
        <v>924</v>
      </c>
      <c r="B152" s="11" t="s">
        <v>925</v>
      </c>
      <c r="C152" s="11" t="s">
        <v>927</v>
      </c>
      <c r="D152" s="11" t="s">
        <v>928</v>
      </c>
      <c r="E152" s="11" t="s">
        <v>929</v>
      </c>
    </row>
    <row r="153" ht="75" customHeight="1" spans="1:5">
      <c r="A153" s="20" t="s">
        <v>930</v>
      </c>
      <c r="B153" s="11" t="s">
        <v>931</v>
      </c>
      <c r="C153" s="11" t="s">
        <v>933</v>
      </c>
      <c r="D153" s="11" t="s">
        <v>934</v>
      </c>
      <c r="E153" s="11" t="s">
        <v>935</v>
      </c>
    </row>
    <row r="154" ht="75" customHeight="1" spans="1:5">
      <c r="A154" s="20" t="s">
        <v>937</v>
      </c>
      <c r="B154" s="11" t="s">
        <v>938</v>
      </c>
      <c r="C154" s="11" t="s">
        <v>939</v>
      </c>
      <c r="D154" s="11" t="s">
        <v>940</v>
      </c>
      <c r="E154" s="11" t="s">
        <v>941</v>
      </c>
    </row>
    <row r="155" ht="75" customHeight="1" spans="1:5">
      <c r="A155" s="20" t="s">
        <v>942</v>
      </c>
      <c r="B155" s="11" t="s">
        <v>943</v>
      </c>
      <c r="C155" s="11" t="s">
        <v>945</v>
      </c>
      <c r="D155" s="11" t="s">
        <v>211</v>
      </c>
      <c r="E155" s="11" t="s">
        <v>946</v>
      </c>
    </row>
    <row r="156" ht="75" customHeight="1" spans="1:5">
      <c r="A156" s="20" t="s">
        <v>947</v>
      </c>
      <c r="B156" s="11" t="s">
        <v>948</v>
      </c>
      <c r="C156" s="11" t="s">
        <v>950</v>
      </c>
      <c r="D156" s="11" t="s">
        <v>951</v>
      </c>
      <c r="E156" s="11" t="s">
        <v>952</v>
      </c>
    </row>
    <row r="157" ht="75" customHeight="1" spans="1:5">
      <c r="A157" s="20" t="s">
        <v>953</v>
      </c>
      <c r="B157" s="11" t="s">
        <v>954</v>
      </c>
      <c r="C157" s="11" t="s">
        <v>956</v>
      </c>
      <c r="D157" s="11" t="s">
        <v>211</v>
      </c>
      <c r="E157" s="11" t="s">
        <v>957</v>
      </c>
    </row>
    <row r="158" ht="75" customHeight="1" spans="1:5">
      <c r="A158" s="20" t="s">
        <v>959</v>
      </c>
      <c r="B158" s="11" t="s">
        <v>960</v>
      </c>
      <c r="C158" s="11" t="s">
        <v>962</v>
      </c>
      <c r="D158" s="11" t="s">
        <v>963</v>
      </c>
      <c r="E158" s="11" t="s">
        <v>964</v>
      </c>
    </row>
    <row r="159" ht="75" customHeight="1" spans="1:5">
      <c r="A159" s="20" t="s">
        <v>965</v>
      </c>
      <c r="B159" s="11" t="s">
        <v>966</v>
      </c>
      <c r="C159" s="11" t="s">
        <v>968</v>
      </c>
      <c r="D159" s="11" t="s">
        <v>211</v>
      </c>
      <c r="E159" s="11" t="s">
        <v>969</v>
      </c>
    </row>
    <row r="160" ht="75" customHeight="1" spans="1:5">
      <c r="A160" s="20" t="s">
        <v>970</v>
      </c>
      <c r="B160" s="11" t="s">
        <v>971</v>
      </c>
      <c r="C160" s="11" t="s">
        <v>973</v>
      </c>
      <c r="D160" s="11" t="s">
        <v>974</v>
      </c>
      <c r="E160" s="11" t="s">
        <v>975</v>
      </c>
    </row>
    <row r="161" ht="75" customHeight="1" spans="1:5">
      <c r="A161" s="20" t="s">
        <v>976</v>
      </c>
      <c r="B161" s="11" t="s">
        <v>977</v>
      </c>
      <c r="C161" s="11" t="s">
        <v>979</v>
      </c>
      <c r="D161" s="11" t="s">
        <v>980</v>
      </c>
      <c r="E161" s="11" t="s">
        <v>981</v>
      </c>
    </row>
    <row r="162" ht="75" customHeight="1" spans="1:5">
      <c r="A162" s="20" t="s">
        <v>983</v>
      </c>
      <c r="B162" s="11" t="s">
        <v>984</v>
      </c>
      <c r="C162" s="11" t="s">
        <v>986</v>
      </c>
      <c r="D162" s="11" t="s">
        <v>987</v>
      </c>
      <c r="E162" s="11" t="s">
        <v>988</v>
      </c>
    </row>
    <row r="163" ht="75" customHeight="1" spans="1:5">
      <c r="A163" s="20" t="s">
        <v>989</v>
      </c>
      <c r="B163" s="11" t="s">
        <v>990</v>
      </c>
      <c r="C163" s="11" t="s">
        <v>992</v>
      </c>
      <c r="D163" s="11" t="s">
        <v>987</v>
      </c>
      <c r="E163" s="11" t="s">
        <v>993</v>
      </c>
    </row>
    <row r="164" ht="75" customHeight="1" spans="1:5">
      <c r="A164" s="20" t="s">
        <v>994</v>
      </c>
      <c r="B164" s="11" t="s">
        <v>995</v>
      </c>
      <c r="C164" s="11" t="s">
        <v>997</v>
      </c>
      <c r="D164" s="11" t="s">
        <v>998</v>
      </c>
      <c r="E164" s="11" t="s">
        <v>999</v>
      </c>
    </row>
    <row r="165" ht="75" customHeight="1" spans="1:5">
      <c r="A165" s="20" t="s">
        <v>1000</v>
      </c>
      <c r="B165" s="11" t="s">
        <v>1001</v>
      </c>
      <c r="C165" s="11" t="s">
        <v>1003</v>
      </c>
      <c r="D165" s="11" t="s">
        <v>1004</v>
      </c>
      <c r="E165" s="11" t="s">
        <v>1005</v>
      </c>
    </row>
    <row r="166" ht="75" customHeight="1" spans="1:5">
      <c r="A166" s="20" t="s">
        <v>1006</v>
      </c>
      <c r="B166" s="11" t="s">
        <v>1007</v>
      </c>
      <c r="C166" s="11" t="s">
        <v>1009</v>
      </c>
      <c r="D166" s="11" t="s">
        <v>211</v>
      </c>
      <c r="E166" s="11" t="s">
        <v>1010</v>
      </c>
    </row>
    <row r="167" ht="75" customHeight="1" spans="1:5">
      <c r="A167" s="20" t="s">
        <v>1011</v>
      </c>
      <c r="B167" s="11" t="s">
        <v>1012</v>
      </c>
      <c r="C167" s="11" t="s">
        <v>1014</v>
      </c>
      <c r="D167" s="11" t="s">
        <v>1015</v>
      </c>
      <c r="E167" s="11" t="s">
        <v>1016</v>
      </c>
    </row>
    <row r="168" ht="75" customHeight="1" spans="1:5">
      <c r="A168" s="20" t="s">
        <v>1017</v>
      </c>
      <c r="B168" s="11" t="s">
        <v>1018</v>
      </c>
      <c r="C168" s="11" t="s">
        <v>1020</v>
      </c>
      <c r="D168" s="11" t="s">
        <v>1021</v>
      </c>
      <c r="E168" s="11" t="s">
        <v>1022</v>
      </c>
    </row>
    <row r="169" ht="75" customHeight="1" spans="1:5">
      <c r="A169" s="20" t="s">
        <v>1023</v>
      </c>
      <c r="B169" s="11" t="s">
        <v>1024</v>
      </c>
      <c r="C169" s="11" t="s">
        <v>1026</v>
      </c>
      <c r="D169" s="11" t="s">
        <v>812</v>
      </c>
      <c r="E169" s="11" t="s">
        <v>1027</v>
      </c>
    </row>
    <row r="170" ht="75" customHeight="1" spans="1:5">
      <c r="A170" s="20" t="s">
        <v>1028</v>
      </c>
      <c r="B170" s="11" t="s">
        <v>1029</v>
      </c>
      <c r="C170" s="11" t="s">
        <v>1031</v>
      </c>
      <c r="D170" s="11" t="s">
        <v>211</v>
      </c>
      <c r="E170" s="11" t="s">
        <v>1032</v>
      </c>
    </row>
    <row r="171" ht="75" customHeight="1" spans="1:5">
      <c r="A171" s="20" t="s">
        <v>1033</v>
      </c>
      <c r="B171" s="11" t="s">
        <v>1034</v>
      </c>
      <c r="C171" s="11" t="s">
        <v>1036</v>
      </c>
      <c r="D171" s="11" t="s">
        <v>1037</v>
      </c>
      <c r="E171" s="11" t="s">
        <v>1038</v>
      </c>
    </row>
    <row r="172" ht="75" customHeight="1" spans="1:5">
      <c r="A172" s="20" t="s">
        <v>1039</v>
      </c>
      <c r="B172" s="11" t="s">
        <v>1040</v>
      </c>
      <c r="C172" s="11" t="s">
        <v>1042</v>
      </c>
      <c r="D172" s="11" t="s">
        <v>1043</v>
      </c>
      <c r="E172" s="11" t="s">
        <v>1044</v>
      </c>
    </row>
    <row r="173" ht="75" customHeight="1" spans="1:5">
      <c r="A173" s="20" t="s">
        <v>1045</v>
      </c>
      <c r="B173" s="11" t="s">
        <v>1046</v>
      </c>
      <c r="C173" s="11" t="s">
        <v>1048</v>
      </c>
      <c r="D173" s="11" t="s">
        <v>1049</v>
      </c>
      <c r="E173" s="11" t="s">
        <v>1050</v>
      </c>
    </row>
    <row r="174" ht="75" customHeight="1" spans="1:5">
      <c r="A174" s="20" t="s">
        <v>1051</v>
      </c>
      <c r="B174" s="11" t="s">
        <v>1052</v>
      </c>
      <c r="C174" s="11" t="s">
        <v>1054</v>
      </c>
      <c r="D174" s="11" t="s">
        <v>875</v>
      </c>
      <c r="E174" s="11" t="s">
        <v>1055</v>
      </c>
    </row>
    <row r="175" ht="75" customHeight="1" spans="1:5">
      <c r="A175" s="20" t="s">
        <v>1056</v>
      </c>
      <c r="B175" s="11" t="s">
        <v>1057</v>
      </c>
      <c r="C175" s="11" t="s">
        <v>1059</v>
      </c>
      <c r="D175" s="11" t="s">
        <v>1060</v>
      </c>
      <c r="E175" s="11" t="s">
        <v>1061</v>
      </c>
    </row>
    <row r="176" ht="75" customHeight="1" spans="1:5">
      <c r="A176" s="20" t="s">
        <v>1062</v>
      </c>
      <c r="B176" s="11" t="s">
        <v>1063</v>
      </c>
      <c r="C176" s="11" t="s">
        <v>1065</v>
      </c>
      <c r="D176" s="11" t="s">
        <v>211</v>
      </c>
      <c r="E176" s="11" t="s">
        <v>1066</v>
      </c>
    </row>
    <row r="177" ht="75" customHeight="1" spans="1:5">
      <c r="A177" s="20" t="s">
        <v>1067</v>
      </c>
      <c r="B177" s="11" t="s">
        <v>1068</v>
      </c>
      <c r="C177" s="11" t="s">
        <v>1070</v>
      </c>
      <c r="D177" s="11" t="s">
        <v>1071</v>
      </c>
      <c r="E177" s="11" t="s">
        <v>1072</v>
      </c>
    </row>
    <row r="178" ht="75" customHeight="1" spans="1:5">
      <c r="A178" s="20" t="s">
        <v>1073</v>
      </c>
      <c r="B178" s="11" t="s">
        <v>1074</v>
      </c>
      <c r="C178" s="11" t="s">
        <v>1076</v>
      </c>
      <c r="D178" s="11" t="s">
        <v>1077</v>
      </c>
      <c r="E178" s="11" t="s">
        <v>1078</v>
      </c>
    </row>
    <row r="179" ht="75" customHeight="1" spans="1:5">
      <c r="A179" s="20" t="s">
        <v>1079</v>
      </c>
      <c r="B179" s="11" t="s">
        <v>1080</v>
      </c>
      <c r="C179" s="11" t="s">
        <v>1082</v>
      </c>
      <c r="D179" s="11" t="s">
        <v>1077</v>
      </c>
      <c r="E179" s="11" t="s">
        <v>1083</v>
      </c>
    </row>
    <row r="180" ht="75" customHeight="1" spans="1:5">
      <c r="A180" s="20" t="s">
        <v>1084</v>
      </c>
      <c r="B180" s="11" t="s">
        <v>1085</v>
      </c>
      <c r="C180" s="11" t="s">
        <v>1087</v>
      </c>
      <c r="D180" s="11" t="s">
        <v>1088</v>
      </c>
      <c r="E180" s="11" t="s">
        <v>1089</v>
      </c>
    </row>
    <row r="181" ht="75" customHeight="1" spans="1:5">
      <c r="A181" s="20" t="s">
        <v>1090</v>
      </c>
      <c r="B181" s="11" t="s">
        <v>1091</v>
      </c>
      <c r="C181" s="11" t="s">
        <v>1093</v>
      </c>
      <c r="D181" s="11" t="s">
        <v>1094</v>
      </c>
      <c r="E181" s="11" t="s">
        <v>1095</v>
      </c>
    </row>
    <row r="182" ht="75" customHeight="1" spans="1:5">
      <c r="A182" s="20" t="s">
        <v>1097</v>
      </c>
      <c r="B182" s="11" t="s">
        <v>1098</v>
      </c>
      <c r="C182" s="11" t="s">
        <v>1099</v>
      </c>
      <c r="D182" s="11" t="s">
        <v>211</v>
      </c>
      <c r="E182" s="11" t="s">
        <v>1100</v>
      </c>
    </row>
    <row r="183" ht="75" customHeight="1" spans="1:5">
      <c r="A183" s="20" t="s">
        <v>1101</v>
      </c>
      <c r="B183" s="11" t="s">
        <v>1102</v>
      </c>
      <c r="C183" s="11" t="s">
        <v>1104</v>
      </c>
      <c r="D183" s="11" t="s">
        <v>1105</v>
      </c>
      <c r="E183" s="11" t="s">
        <v>1106</v>
      </c>
    </row>
    <row r="184" ht="75" customHeight="1" spans="1:5">
      <c r="A184" s="20" t="s">
        <v>1107</v>
      </c>
      <c r="B184" s="11" t="s">
        <v>1108</v>
      </c>
      <c r="C184" s="11" t="s">
        <v>1110</v>
      </c>
      <c r="D184" s="11" t="s">
        <v>211</v>
      </c>
      <c r="E184" s="11" t="s">
        <v>1111</v>
      </c>
    </row>
    <row r="185" ht="75" customHeight="1" spans="1:5">
      <c r="A185" s="20" t="s">
        <v>1112</v>
      </c>
      <c r="B185" s="11" t="s">
        <v>1113</v>
      </c>
      <c r="C185" s="11" t="s">
        <v>1115</v>
      </c>
      <c r="D185" s="11" t="s">
        <v>1116</v>
      </c>
      <c r="E185" s="11" t="s">
        <v>1117</v>
      </c>
    </row>
    <row r="186" ht="75" customHeight="1" spans="1:5">
      <c r="A186" s="20" t="s">
        <v>1118</v>
      </c>
      <c r="B186" s="11" t="s">
        <v>1119</v>
      </c>
      <c r="C186" s="11" t="s">
        <v>1121</v>
      </c>
      <c r="D186" s="11" t="s">
        <v>1088</v>
      </c>
      <c r="E186" s="11" t="s">
        <v>1122</v>
      </c>
    </row>
    <row r="187" ht="75" customHeight="1" spans="1:5">
      <c r="A187" s="20" t="s">
        <v>1123</v>
      </c>
      <c r="B187" s="11" t="s">
        <v>1124</v>
      </c>
      <c r="C187" s="11" t="s">
        <v>1126</v>
      </c>
      <c r="D187" s="11" t="s">
        <v>1127</v>
      </c>
      <c r="E187" s="11" t="s">
        <v>1128</v>
      </c>
    </row>
    <row r="188" ht="75" customHeight="1" spans="1:5">
      <c r="A188" s="20" t="s">
        <v>1129</v>
      </c>
      <c r="B188" s="11" t="s">
        <v>1130</v>
      </c>
      <c r="C188" s="11" t="s">
        <v>1132</v>
      </c>
      <c r="D188" s="11" t="s">
        <v>1088</v>
      </c>
      <c r="E188" s="11" t="s">
        <v>1133</v>
      </c>
    </row>
    <row r="189" ht="75" customHeight="1" spans="1:5">
      <c r="A189" s="20" t="s">
        <v>1134</v>
      </c>
      <c r="B189" s="11" t="s">
        <v>1135</v>
      </c>
      <c r="C189" s="11" t="s">
        <v>1137</v>
      </c>
      <c r="D189" s="11" t="s">
        <v>1138</v>
      </c>
      <c r="E189" s="11" t="s">
        <v>1139</v>
      </c>
    </row>
    <row r="190" ht="75" customHeight="1" spans="1:5">
      <c r="A190" s="20" t="s">
        <v>1140</v>
      </c>
      <c r="B190" s="11" t="s">
        <v>1141</v>
      </c>
      <c r="C190" s="11" t="s">
        <v>1143</v>
      </c>
      <c r="D190" s="11" t="s">
        <v>211</v>
      </c>
      <c r="E190" s="11" t="s">
        <v>1144</v>
      </c>
    </row>
    <row r="191" ht="75" customHeight="1" spans="1:5">
      <c r="A191" s="20" t="s">
        <v>1145</v>
      </c>
      <c r="B191" s="11" t="s">
        <v>1146</v>
      </c>
      <c r="C191" s="11" t="s">
        <v>1148</v>
      </c>
      <c r="D191" s="11" t="s">
        <v>1116</v>
      </c>
      <c r="E191" s="11" t="s">
        <v>1149</v>
      </c>
    </row>
    <row r="192" ht="75" customHeight="1" spans="1:5">
      <c r="A192" s="20" t="s">
        <v>1150</v>
      </c>
      <c r="B192" s="11" t="s">
        <v>1151</v>
      </c>
      <c r="C192" s="11" t="s">
        <v>1153</v>
      </c>
      <c r="D192" s="11" t="s">
        <v>211</v>
      </c>
      <c r="E192" s="11" t="s">
        <v>1154</v>
      </c>
    </row>
    <row r="193" ht="75" customHeight="1" spans="1:5">
      <c r="A193" s="20" t="s">
        <v>1155</v>
      </c>
      <c r="B193" s="11" t="s">
        <v>1156</v>
      </c>
      <c r="C193" s="11" t="s">
        <v>1158</v>
      </c>
      <c r="D193" s="11" t="s">
        <v>1159</v>
      </c>
      <c r="E193" s="11" t="s">
        <v>1160</v>
      </c>
    </row>
    <row r="194" ht="75" customHeight="1" spans="1:5">
      <c r="A194" s="20" t="s">
        <v>1161</v>
      </c>
      <c r="B194" s="11" t="s">
        <v>1162</v>
      </c>
      <c r="C194" s="11" t="s">
        <v>1164</v>
      </c>
      <c r="D194" s="11" t="s">
        <v>1165</v>
      </c>
      <c r="E194" s="11" t="s">
        <v>1166</v>
      </c>
    </row>
    <row r="195" ht="75" customHeight="1" spans="1:5">
      <c r="A195" s="20" t="s">
        <v>1167</v>
      </c>
      <c r="B195" s="11" t="s">
        <v>1168</v>
      </c>
      <c r="C195" s="11" t="s">
        <v>1170</v>
      </c>
      <c r="D195" s="11" t="s">
        <v>211</v>
      </c>
      <c r="E195" s="11" t="s">
        <v>1171</v>
      </c>
    </row>
    <row r="196" ht="75" customHeight="1" spans="1:5">
      <c r="A196" s="20" t="s">
        <v>1172</v>
      </c>
      <c r="B196" s="11" t="s">
        <v>1173</v>
      </c>
      <c r="C196" s="11" t="s">
        <v>1175</v>
      </c>
      <c r="D196" s="11" t="s">
        <v>211</v>
      </c>
      <c r="E196" s="11" t="s">
        <v>1176</v>
      </c>
    </row>
    <row r="197" ht="75" customHeight="1" spans="1:5">
      <c r="A197" s="20" t="s">
        <v>1178</v>
      </c>
      <c r="B197" s="11" t="s">
        <v>1179</v>
      </c>
      <c r="C197" s="11" t="s">
        <v>1181</v>
      </c>
      <c r="D197" s="11" t="s">
        <v>1182</v>
      </c>
      <c r="E197" s="11" t="s">
        <v>1183</v>
      </c>
    </row>
    <row r="198" ht="75" customHeight="1" spans="1:5">
      <c r="A198" s="20" t="s">
        <v>1184</v>
      </c>
      <c r="B198" s="11" t="s">
        <v>1185</v>
      </c>
      <c r="C198" s="11" t="s">
        <v>1187</v>
      </c>
      <c r="D198" s="11" t="s">
        <v>1188</v>
      </c>
      <c r="E198" s="11" t="s">
        <v>1189</v>
      </c>
    </row>
    <row r="199" ht="75" customHeight="1" spans="1:5">
      <c r="A199" s="20" t="s">
        <v>1190</v>
      </c>
      <c r="B199" s="11" t="s">
        <v>1191</v>
      </c>
      <c r="C199" s="11" t="s">
        <v>1193</v>
      </c>
      <c r="D199" s="11" t="s">
        <v>812</v>
      </c>
      <c r="E199" s="11" t="s">
        <v>1194</v>
      </c>
    </row>
    <row r="200" ht="75" customHeight="1" spans="1:5">
      <c r="A200" s="20" t="s">
        <v>1195</v>
      </c>
      <c r="B200" s="11" t="s">
        <v>1196</v>
      </c>
      <c r="C200" s="11" t="s">
        <v>1198</v>
      </c>
      <c r="D200" s="11" t="s">
        <v>1199</v>
      </c>
      <c r="E200" s="11" t="s">
        <v>1200</v>
      </c>
    </row>
    <row r="201" ht="75" customHeight="1" spans="1:5">
      <c r="A201" s="20" t="s">
        <v>1201</v>
      </c>
      <c r="B201" s="11" t="s">
        <v>1202</v>
      </c>
      <c r="C201" s="11" t="s">
        <v>1204</v>
      </c>
      <c r="D201" s="11" t="s">
        <v>1205</v>
      </c>
      <c r="E201" s="11" t="s">
        <v>1206</v>
      </c>
    </row>
    <row r="202" ht="75" customHeight="1" spans="1:5">
      <c r="A202" s="20" t="s">
        <v>1209</v>
      </c>
      <c r="B202" s="11" t="s">
        <v>1210</v>
      </c>
      <c r="C202" s="11" t="s">
        <v>1212</v>
      </c>
      <c r="D202" s="11" t="s">
        <v>1213</v>
      </c>
      <c r="E202" s="11" t="s">
        <v>1214</v>
      </c>
    </row>
    <row r="203" ht="75" customHeight="1" spans="1:5">
      <c r="A203" s="20" t="s">
        <v>1215</v>
      </c>
      <c r="B203" s="11" t="s">
        <v>1216</v>
      </c>
      <c r="C203" s="11" t="s">
        <v>1218</v>
      </c>
      <c r="D203" s="11" t="s">
        <v>1219</v>
      </c>
      <c r="E203" s="11" t="s">
        <v>1220</v>
      </c>
    </row>
    <row r="204" ht="75" customHeight="1" spans="1:5">
      <c r="A204" s="20" t="s">
        <v>1221</v>
      </c>
      <c r="B204" s="11" t="s">
        <v>1222</v>
      </c>
      <c r="C204" s="11" t="s">
        <v>1223</v>
      </c>
      <c r="D204" s="11" t="s">
        <v>1224</v>
      </c>
      <c r="E204" s="11" t="s">
        <v>1225</v>
      </c>
    </row>
    <row r="205" ht="75" customHeight="1" spans="1:5">
      <c r="A205" s="20" t="s">
        <v>1226</v>
      </c>
      <c r="B205" s="11" t="s">
        <v>1227</v>
      </c>
      <c r="C205" s="11" t="s">
        <v>1229</v>
      </c>
      <c r="D205" s="11" t="s">
        <v>1230</v>
      </c>
      <c r="E205" s="11" t="s">
        <v>1231</v>
      </c>
    </row>
    <row r="206" ht="75" customHeight="1" spans="1:5">
      <c r="A206" s="20" t="s">
        <v>1232</v>
      </c>
      <c r="B206" s="11" t="s">
        <v>1233</v>
      </c>
      <c r="C206" s="11" t="s">
        <v>1235</v>
      </c>
      <c r="D206" s="11" t="s">
        <v>1236</v>
      </c>
      <c r="E206" s="11" t="s">
        <v>1237</v>
      </c>
    </row>
    <row r="207" ht="75" customHeight="1" spans="1:5">
      <c r="A207" s="20" t="s">
        <v>1238</v>
      </c>
      <c r="B207" s="11" t="s">
        <v>1239</v>
      </c>
      <c r="C207" s="11" t="s">
        <v>1240</v>
      </c>
      <c r="D207" s="11" t="s">
        <v>1241</v>
      </c>
      <c r="E207" s="11" t="s">
        <v>1242</v>
      </c>
    </row>
    <row r="208" ht="75" customHeight="1" spans="1:5">
      <c r="A208" s="20" t="s">
        <v>1243</v>
      </c>
      <c r="B208" s="11" t="s">
        <v>1244</v>
      </c>
      <c r="C208" s="11" t="s">
        <v>1246</v>
      </c>
      <c r="D208" s="11" t="s">
        <v>1247</v>
      </c>
      <c r="E208" s="11" t="s">
        <v>1248</v>
      </c>
    </row>
    <row r="209" ht="75" customHeight="1" spans="1:5">
      <c r="A209" s="20" t="s">
        <v>1249</v>
      </c>
      <c r="B209" s="11" t="s">
        <v>1250</v>
      </c>
      <c r="C209" s="11" t="s">
        <v>1252</v>
      </c>
      <c r="D209" s="11" t="s">
        <v>1253</v>
      </c>
      <c r="E209" s="11" t="s">
        <v>1254</v>
      </c>
    </row>
    <row r="210" ht="75" customHeight="1" spans="1:5">
      <c r="A210" s="20" t="s">
        <v>1255</v>
      </c>
      <c r="B210" s="11" t="s">
        <v>1256</v>
      </c>
      <c r="C210" s="11" t="s">
        <v>1258</v>
      </c>
      <c r="D210" s="11" t="s">
        <v>1259</v>
      </c>
      <c r="E210" s="11" t="s">
        <v>1260</v>
      </c>
    </row>
    <row r="211" ht="75" customHeight="1" spans="1:5">
      <c r="A211" s="20" t="s">
        <v>1261</v>
      </c>
      <c r="B211" s="11" t="s">
        <v>1262</v>
      </c>
      <c r="C211" s="11" t="s">
        <v>1264</v>
      </c>
      <c r="D211" s="11" t="s">
        <v>1265</v>
      </c>
      <c r="E211" s="11" t="s">
        <v>1266</v>
      </c>
    </row>
    <row r="212" ht="75" customHeight="1" spans="1:5">
      <c r="A212" s="20" t="s">
        <v>1268</v>
      </c>
      <c r="B212" s="11" t="s">
        <v>1269</v>
      </c>
      <c r="C212" s="11" t="s">
        <v>1271</v>
      </c>
      <c r="D212" s="11" t="s">
        <v>1272</v>
      </c>
      <c r="E212" s="11" t="s">
        <v>1273</v>
      </c>
    </row>
    <row r="213" ht="75" customHeight="1" spans="1:5">
      <c r="A213" s="20" t="s">
        <v>1274</v>
      </c>
      <c r="B213" s="11" t="s">
        <v>1275</v>
      </c>
      <c r="C213" s="11" t="s">
        <v>1277</v>
      </c>
      <c r="D213" s="11" t="s">
        <v>1278</v>
      </c>
      <c r="E213" s="11" t="s">
        <v>1279</v>
      </c>
    </row>
    <row r="214" ht="75" customHeight="1" spans="1:5">
      <c r="A214" s="20" t="s">
        <v>1280</v>
      </c>
      <c r="B214" s="11" t="s">
        <v>1281</v>
      </c>
      <c r="C214" s="11" t="s">
        <v>1283</v>
      </c>
      <c r="D214" s="11" t="s">
        <v>1284</v>
      </c>
      <c r="E214" s="11" t="s">
        <v>1285</v>
      </c>
    </row>
    <row r="215" ht="75" customHeight="1" spans="1:5">
      <c r="A215" s="20" t="s">
        <v>1286</v>
      </c>
      <c r="B215" s="11" t="s">
        <v>1287</v>
      </c>
      <c r="C215" s="11" t="s">
        <v>1289</v>
      </c>
      <c r="D215" s="11" t="s">
        <v>1290</v>
      </c>
      <c r="E215" s="11" t="s">
        <v>1291</v>
      </c>
    </row>
    <row r="216" ht="75" customHeight="1" spans="1:5">
      <c r="A216" s="20" t="s">
        <v>1292</v>
      </c>
      <c r="B216" s="11" t="s">
        <v>1293</v>
      </c>
      <c r="C216" s="11" t="s">
        <v>1295</v>
      </c>
      <c r="D216" s="11" t="s">
        <v>1296</v>
      </c>
      <c r="E216" s="11" t="s">
        <v>1297</v>
      </c>
    </row>
    <row r="217" ht="75" customHeight="1" spans="1:5">
      <c r="A217" s="20" t="s">
        <v>1298</v>
      </c>
      <c r="B217" s="11" t="s">
        <v>1299</v>
      </c>
      <c r="C217" s="11" t="s">
        <v>1301</v>
      </c>
      <c r="D217" s="11" t="s">
        <v>1302</v>
      </c>
      <c r="E217" s="11" t="s">
        <v>1303</v>
      </c>
    </row>
    <row r="218" ht="75" customHeight="1" spans="1:5">
      <c r="A218" s="20" t="s">
        <v>1304</v>
      </c>
      <c r="B218" s="11" t="s">
        <v>1305</v>
      </c>
      <c r="C218" s="11" t="s">
        <v>1307</v>
      </c>
      <c r="D218" s="11" t="s">
        <v>1236</v>
      </c>
      <c r="E218" s="11" t="s">
        <v>1308</v>
      </c>
    </row>
    <row r="219" ht="75" customHeight="1" spans="1:5">
      <c r="A219" s="20" t="s">
        <v>1309</v>
      </c>
      <c r="B219" s="11" t="s">
        <v>1310</v>
      </c>
      <c r="C219" s="11" t="s">
        <v>1312</v>
      </c>
      <c r="D219" s="11" t="s">
        <v>1236</v>
      </c>
      <c r="E219" s="11" t="s">
        <v>1313</v>
      </c>
    </row>
    <row r="220" ht="75" customHeight="1" spans="1:5">
      <c r="A220" s="20" t="s">
        <v>1314</v>
      </c>
      <c r="B220" s="11" t="s">
        <v>1315</v>
      </c>
      <c r="C220" s="11" t="s">
        <v>1317</v>
      </c>
      <c r="D220" s="11" t="s">
        <v>1318</v>
      </c>
      <c r="E220" s="11" t="s">
        <v>1319</v>
      </c>
    </row>
    <row r="221" ht="75" customHeight="1" spans="1:5">
      <c r="A221" s="20" t="s">
        <v>1320</v>
      </c>
      <c r="B221" s="11" t="s">
        <v>1321</v>
      </c>
      <c r="C221" s="11" t="s">
        <v>1323</v>
      </c>
      <c r="D221" s="11" t="s">
        <v>1324</v>
      </c>
      <c r="E221" s="11" t="s">
        <v>1325</v>
      </c>
    </row>
    <row r="222" ht="75" customHeight="1" spans="1:5">
      <c r="A222" s="20" t="s">
        <v>1326</v>
      </c>
      <c r="B222" s="11" t="s">
        <v>1327</v>
      </c>
      <c r="C222" s="11" t="s">
        <v>1329</v>
      </c>
      <c r="D222" s="11" t="s">
        <v>1188</v>
      </c>
      <c r="E222" s="11" t="s">
        <v>1330</v>
      </c>
    </row>
    <row r="223" ht="75" customHeight="1" spans="1:5">
      <c r="A223" s="20" t="s">
        <v>1331</v>
      </c>
      <c r="B223" s="11" t="s">
        <v>1332</v>
      </c>
      <c r="C223" s="11" t="s">
        <v>1334</v>
      </c>
      <c r="D223" s="11" t="s">
        <v>211</v>
      </c>
      <c r="E223" s="11" t="s">
        <v>1335</v>
      </c>
    </row>
    <row r="224" ht="75" customHeight="1" spans="1:5">
      <c r="A224" s="20" t="s">
        <v>1336</v>
      </c>
      <c r="B224" s="11" t="s">
        <v>1337</v>
      </c>
      <c r="C224" s="11" t="s">
        <v>1339</v>
      </c>
      <c r="D224" s="11" t="s">
        <v>211</v>
      </c>
      <c r="E224" s="11" t="s">
        <v>1340</v>
      </c>
    </row>
    <row r="225" ht="75" customHeight="1" spans="1:5">
      <c r="A225" s="20" t="s">
        <v>1341</v>
      </c>
      <c r="B225" s="11" t="s">
        <v>1342</v>
      </c>
      <c r="C225" s="11" t="s">
        <v>1344</v>
      </c>
      <c r="D225" s="11" t="s">
        <v>1345</v>
      </c>
      <c r="E225" s="11" t="s">
        <v>1346</v>
      </c>
    </row>
    <row r="226" ht="75" customHeight="1" spans="1:5">
      <c r="A226" s="20" t="s">
        <v>1347</v>
      </c>
      <c r="B226" s="11" t="s">
        <v>1348</v>
      </c>
      <c r="C226" s="11" t="s">
        <v>1349</v>
      </c>
      <c r="D226" s="11" t="s">
        <v>1077</v>
      </c>
      <c r="E226" s="11" t="s">
        <v>1350</v>
      </c>
    </row>
    <row r="227" ht="75" customHeight="1" spans="1:5">
      <c r="A227" s="20" t="s">
        <v>1353</v>
      </c>
      <c r="B227" s="11" t="s">
        <v>1354</v>
      </c>
      <c r="C227" s="11" t="s">
        <v>1356</v>
      </c>
      <c r="D227" s="11" t="s">
        <v>1357</v>
      </c>
      <c r="E227" s="11" t="s">
        <v>1358</v>
      </c>
    </row>
    <row r="228" ht="75" customHeight="1" spans="1:5">
      <c r="A228" s="20" t="s">
        <v>1359</v>
      </c>
      <c r="B228" s="11" t="s">
        <v>1360</v>
      </c>
      <c r="C228" s="11" t="s">
        <v>1362</v>
      </c>
      <c r="D228" s="11" t="s">
        <v>1363</v>
      </c>
      <c r="E228" s="11" t="s">
        <v>1364</v>
      </c>
    </row>
    <row r="229" ht="75" customHeight="1" spans="1:5">
      <c r="A229" s="20" t="s">
        <v>1365</v>
      </c>
      <c r="B229" s="11" t="s">
        <v>1366</v>
      </c>
      <c r="C229" s="11" t="s">
        <v>1368</v>
      </c>
      <c r="D229" s="11" t="s">
        <v>1369</v>
      </c>
      <c r="E229" s="11" t="s">
        <v>1370</v>
      </c>
    </row>
    <row r="230" ht="75" customHeight="1" spans="1:5">
      <c r="A230" s="20" t="s">
        <v>1371</v>
      </c>
      <c r="B230" s="11" t="s">
        <v>1372</v>
      </c>
      <c r="C230" s="11" t="s">
        <v>1374</v>
      </c>
      <c r="D230" s="11" t="s">
        <v>211</v>
      </c>
      <c r="E230" s="11" t="s">
        <v>1375</v>
      </c>
    </row>
    <row r="231" ht="75" customHeight="1" spans="1:5">
      <c r="A231" s="20" t="s">
        <v>1376</v>
      </c>
      <c r="B231" s="11" t="s">
        <v>1377</v>
      </c>
      <c r="C231" s="11" t="s">
        <v>1379</v>
      </c>
      <c r="D231" s="11" t="s">
        <v>1380</v>
      </c>
      <c r="E231" s="11" t="s">
        <v>1381</v>
      </c>
    </row>
    <row r="232" ht="75" customHeight="1" spans="1:5">
      <c r="A232" s="20" t="s">
        <v>1383</v>
      </c>
      <c r="B232" s="11" t="s">
        <v>1384</v>
      </c>
      <c r="C232" s="11" t="s">
        <v>1386</v>
      </c>
      <c r="D232" s="11" t="s">
        <v>211</v>
      </c>
      <c r="E232" s="11" t="s">
        <v>1387</v>
      </c>
    </row>
    <row r="233" ht="75" customHeight="1" spans="1:5">
      <c r="A233" s="20" t="s">
        <v>1388</v>
      </c>
      <c r="B233" s="11" t="s">
        <v>1389</v>
      </c>
      <c r="C233" s="11" t="s">
        <v>1391</v>
      </c>
      <c r="D233" s="11" t="s">
        <v>812</v>
      </c>
      <c r="E233" s="11" t="s">
        <v>1392</v>
      </c>
    </row>
    <row r="234" ht="75" customHeight="1" spans="1:5">
      <c r="A234" s="20" t="s">
        <v>1393</v>
      </c>
      <c r="B234" s="11" t="s">
        <v>1394</v>
      </c>
      <c r="C234" s="11" t="s">
        <v>1396</v>
      </c>
      <c r="D234" s="11" t="s">
        <v>1397</v>
      </c>
      <c r="E234" s="11" t="s">
        <v>1398</v>
      </c>
    </row>
    <row r="235" ht="75" customHeight="1" spans="1:5">
      <c r="A235" s="20" t="s">
        <v>1399</v>
      </c>
      <c r="B235" s="11" t="s">
        <v>1400</v>
      </c>
      <c r="C235" s="11" t="s">
        <v>1402</v>
      </c>
      <c r="D235" s="11" t="s">
        <v>1403</v>
      </c>
      <c r="E235" s="11" t="s">
        <v>1404</v>
      </c>
    </row>
    <row r="236" ht="75" customHeight="1" spans="1:5">
      <c r="A236" s="20" t="s">
        <v>1405</v>
      </c>
      <c r="B236" s="11" t="s">
        <v>1406</v>
      </c>
      <c r="C236" s="11" t="s">
        <v>1408</v>
      </c>
      <c r="D236" s="11" t="s">
        <v>211</v>
      </c>
      <c r="E236" s="11" t="s">
        <v>1409</v>
      </c>
    </row>
    <row r="237" ht="75" customHeight="1" spans="1:5">
      <c r="A237" s="20" t="s">
        <v>1410</v>
      </c>
      <c r="B237" s="11" t="s">
        <v>1411</v>
      </c>
      <c r="C237" s="11" t="s">
        <v>1413</v>
      </c>
      <c r="D237" s="11" t="s">
        <v>1414</v>
      </c>
      <c r="E237" s="11" t="s">
        <v>1415</v>
      </c>
    </row>
    <row r="238" ht="75" customHeight="1" spans="1:5">
      <c r="A238" s="20" t="s">
        <v>1416</v>
      </c>
      <c r="B238" s="11" t="s">
        <v>1417</v>
      </c>
      <c r="C238" s="11" t="s">
        <v>1419</v>
      </c>
      <c r="D238" s="11" t="s">
        <v>211</v>
      </c>
      <c r="E238" s="11" t="s">
        <v>1420</v>
      </c>
    </row>
    <row r="239" ht="75" customHeight="1" spans="1:5">
      <c r="A239" s="20" t="s">
        <v>1421</v>
      </c>
      <c r="B239" s="11" t="s">
        <v>1422</v>
      </c>
      <c r="C239" s="11" t="s">
        <v>1424</v>
      </c>
      <c r="D239" s="11" t="s">
        <v>211</v>
      </c>
      <c r="E239" s="11" t="s">
        <v>1425</v>
      </c>
    </row>
    <row r="240" ht="75" customHeight="1" spans="1:5">
      <c r="A240" s="20" t="s">
        <v>1426</v>
      </c>
      <c r="B240" s="11" t="s">
        <v>1427</v>
      </c>
      <c r="C240" s="11" t="s">
        <v>1428</v>
      </c>
      <c r="D240" s="11" t="s">
        <v>1429</v>
      </c>
      <c r="E240" s="11" t="s">
        <v>1430</v>
      </c>
    </row>
    <row r="241" ht="75" customHeight="1" spans="1:5">
      <c r="A241" s="20" t="s">
        <v>1431</v>
      </c>
      <c r="B241" s="11" t="s">
        <v>1432</v>
      </c>
      <c r="C241" s="11" t="s">
        <v>1434</v>
      </c>
      <c r="D241" s="11" t="s">
        <v>211</v>
      </c>
      <c r="E241" s="11" t="s">
        <v>1435</v>
      </c>
    </row>
    <row r="242" ht="75" customHeight="1" spans="1:5">
      <c r="A242" s="20" t="s">
        <v>1436</v>
      </c>
      <c r="B242" s="11" t="s">
        <v>1437</v>
      </c>
      <c r="C242" s="11" t="s">
        <v>1439</v>
      </c>
      <c r="D242" s="11" t="s">
        <v>1440</v>
      </c>
      <c r="E242" s="11" t="s">
        <v>1441</v>
      </c>
    </row>
    <row r="243" ht="75" customHeight="1" spans="1:5">
      <c r="A243" s="20" t="s">
        <v>1442</v>
      </c>
      <c r="B243" s="11" t="s">
        <v>1443</v>
      </c>
      <c r="C243" s="11" t="s">
        <v>1445</v>
      </c>
      <c r="D243" s="11" t="s">
        <v>211</v>
      </c>
      <c r="E243" s="11" t="s">
        <v>1446</v>
      </c>
    </row>
    <row r="244" ht="75" customHeight="1" spans="1:5">
      <c r="A244" s="20" t="s">
        <v>1447</v>
      </c>
      <c r="B244" s="11" t="s">
        <v>1448</v>
      </c>
      <c r="C244" s="11" t="s">
        <v>1450</v>
      </c>
      <c r="D244" s="11" t="s">
        <v>211</v>
      </c>
      <c r="E244" s="11" t="s">
        <v>1451</v>
      </c>
    </row>
    <row r="245" ht="75" customHeight="1" spans="1:5">
      <c r="A245" s="20" t="s">
        <v>1452</v>
      </c>
      <c r="B245" s="11" t="s">
        <v>1453</v>
      </c>
      <c r="C245" s="11" t="s">
        <v>1455</v>
      </c>
      <c r="D245" s="11" t="s">
        <v>1456</v>
      </c>
      <c r="E245" s="11" t="s">
        <v>1457</v>
      </c>
    </row>
    <row r="246" ht="75" customHeight="1" spans="1:5">
      <c r="A246" s="20" t="s">
        <v>1458</v>
      </c>
      <c r="B246" s="11" t="s">
        <v>1459</v>
      </c>
      <c r="C246" s="11" t="s">
        <v>1461</v>
      </c>
      <c r="D246" s="11" t="s">
        <v>1462</v>
      </c>
      <c r="E246" s="11" t="s">
        <v>1463</v>
      </c>
    </row>
    <row r="247" ht="75" customHeight="1" spans="1:5">
      <c r="A247" s="20" t="s">
        <v>1465</v>
      </c>
      <c r="B247" s="11" t="s">
        <v>1466</v>
      </c>
      <c r="C247" s="11" t="s">
        <v>1467</v>
      </c>
      <c r="D247" s="11" t="s">
        <v>1468</v>
      </c>
      <c r="E247" s="11" t="s">
        <v>1469</v>
      </c>
    </row>
    <row r="248" ht="75" customHeight="1" spans="1:5">
      <c r="A248" s="20" t="s">
        <v>1470</v>
      </c>
      <c r="B248" s="11" t="s">
        <v>1471</v>
      </c>
      <c r="C248" s="11" t="s">
        <v>1472</v>
      </c>
      <c r="D248" s="11" t="s">
        <v>1473</v>
      </c>
      <c r="E248" s="11" t="s">
        <v>1474</v>
      </c>
    </row>
    <row r="249" ht="75" customHeight="1" spans="1:5">
      <c r="A249" s="20" t="s">
        <v>1475</v>
      </c>
      <c r="B249" s="11" t="s">
        <v>1476</v>
      </c>
      <c r="C249" s="11" t="s">
        <v>1478</v>
      </c>
      <c r="D249" s="11" t="s">
        <v>1479</v>
      </c>
      <c r="E249" s="11" t="s">
        <v>1480</v>
      </c>
    </row>
    <row r="250" ht="75" customHeight="1" spans="1:5">
      <c r="A250" s="20" t="s">
        <v>1481</v>
      </c>
      <c r="B250" s="11" t="s">
        <v>1482</v>
      </c>
      <c r="C250" s="11" t="s">
        <v>1484</v>
      </c>
      <c r="D250" s="11" t="s">
        <v>211</v>
      </c>
      <c r="E250" s="11" t="s">
        <v>1485</v>
      </c>
    </row>
    <row r="251" ht="75" customHeight="1" spans="1:5">
      <c r="A251" s="20" t="s">
        <v>1486</v>
      </c>
      <c r="B251" s="11" t="s">
        <v>1487</v>
      </c>
      <c r="C251" s="11" t="s">
        <v>1489</v>
      </c>
      <c r="D251" s="11" t="s">
        <v>1490</v>
      </c>
      <c r="E251" s="11" t="s">
        <v>1491</v>
      </c>
    </row>
    <row r="252" ht="75" customHeight="1" spans="1:5">
      <c r="A252" s="20" t="s">
        <v>1492</v>
      </c>
      <c r="B252" s="11" t="s">
        <v>1493</v>
      </c>
      <c r="C252" s="11" t="s">
        <v>1495</v>
      </c>
      <c r="D252" s="11" t="s">
        <v>1496</v>
      </c>
      <c r="E252" s="11" t="s">
        <v>1497</v>
      </c>
    </row>
    <row r="253" ht="75" customHeight="1" spans="1:5">
      <c r="A253" s="20" t="s">
        <v>1498</v>
      </c>
      <c r="B253" s="11" t="s">
        <v>1499</v>
      </c>
      <c r="C253" s="11" t="s">
        <v>1500</v>
      </c>
      <c r="D253" s="11" t="s">
        <v>1501</v>
      </c>
      <c r="E253" s="11" t="s">
        <v>1502</v>
      </c>
    </row>
    <row r="254" ht="75" customHeight="1" spans="1:5">
      <c r="A254" s="20" t="s">
        <v>1505</v>
      </c>
      <c r="B254" s="11" t="s">
        <v>1506</v>
      </c>
      <c r="C254" s="11" t="s">
        <v>1508</v>
      </c>
      <c r="D254" s="11" t="s">
        <v>1509</v>
      </c>
      <c r="E254" s="11" t="s">
        <v>1510</v>
      </c>
    </row>
    <row r="255" ht="75" customHeight="1" spans="1:5">
      <c r="A255" s="20" t="s">
        <v>1511</v>
      </c>
      <c r="B255" s="11" t="s">
        <v>1512</v>
      </c>
      <c r="C255" s="11" t="s">
        <v>1514</v>
      </c>
      <c r="D255" s="11" t="s">
        <v>1272</v>
      </c>
      <c r="E255" s="11" t="s">
        <v>1515</v>
      </c>
    </row>
    <row r="256" ht="75" customHeight="1" spans="1:5">
      <c r="A256" s="20" t="s">
        <v>1516</v>
      </c>
      <c r="B256" s="11" t="s">
        <v>1517</v>
      </c>
      <c r="C256" s="11" t="s">
        <v>1519</v>
      </c>
      <c r="D256" s="11" t="s">
        <v>211</v>
      </c>
      <c r="E256" s="11" t="s">
        <v>1520</v>
      </c>
    </row>
    <row r="257" ht="75" customHeight="1" spans="1:5">
      <c r="A257" s="20" t="s">
        <v>1521</v>
      </c>
      <c r="B257" s="11" t="s">
        <v>1522</v>
      </c>
      <c r="C257" s="11" t="s">
        <v>1524</v>
      </c>
      <c r="D257" s="11" t="s">
        <v>1525</v>
      </c>
      <c r="E257" s="11" t="s">
        <v>1526</v>
      </c>
    </row>
    <row r="258" ht="75" customHeight="1" spans="1:5">
      <c r="A258" s="20" t="s">
        <v>1527</v>
      </c>
      <c r="B258" s="11" t="s">
        <v>1528</v>
      </c>
      <c r="C258" s="11" t="s">
        <v>1530</v>
      </c>
      <c r="D258" s="11" t="s">
        <v>211</v>
      </c>
      <c r="E258" s="11" t="s">
        <v>1531</v>
      </c>
    </row>
    <row r="259" ht="75" customHeight="1" spans="1:5">
      <c r="A259" s="20" t="s">
        <v>1532</v>
      </c>
      <c r="B259" s="11" t="s">
        <v>1533</v>
      </c>
      <c r="C259" s="11" t="s">
        <v>1535</v>
      </c>
      <c r="D259" s="11" t="s">
        <v>1536</v>
      </c>
      <c r="E259" s="11" t="s">
        <v>1537</v>
      </c>
    </row>
    <row r="260" ht="75" customHeight="1" spans="1:5">
      <c r="A260" s="20" t="s">
        <v>1540</v>
      </c>
      <c r="B260" s="11" t="s">
        <v>1541</v>
      </c>
      <c r="C260" s="11" t="s">
        <v>1543</v>
      </c>
      <c r="D260" s="11" t="s">
        <v>211</v>
      </c>
      <c r="E260" s="11" t="s">
        <v>1544</v>
      </c>
    </row>
    <row r="261" ht="75" customHeight="1" spans="1:5">
      <c r="A261" s="20" t="s">
        <v>1545</v>
      </c>
      <c r="B261" s="11" t="s">
        <v>1546</v>
      </c>
      <c r="C261" s="11" t="s">
        <v>1548</v>
      </c>
      <c r="D261" s="11" t="s">
        <v>417</v>
      </c>
      <c r="E261" s="11" t="s">
        <v>1549</v>
      </c>
    </row>
    <row r="262" ht="75" customHeight="1" spans="1:5">
      <c r="A262" s="20" t="s">
        <v>1550</v>
      </c>
      <c r="B262" s="11" t="s">
        <v>1551</v>
      </c>
      <c r="C262" s="11" t="s">
        <v>1553</v>
      </c>
      <c r="D262" s="11" t="s">
        <v>211</v>
      </c>
      <c r="E262" s="11" t="s">
        <v>1554</v>
      </c>
    </row>
    <row r="263" ht="75" customHeight="1" spans="1:5">
      <c r="A263" s="20" t="s">
        <v>1555</v>
      </c>
      <c r="B263" s="11" t="s">
        <v>1556</v>
      </c>
      <c r="C263" s="11" t="s">
        <v>1558</v>
      </c>
      <c r="D263" s="11" t="s">
        <v>405</v>
      </c>
      <c r="E263" s="11" t="s">
        <v>1559</v>
      </c>
    </row>
    <row r="264" ht="75" customHeight="1" spans="1:5">
      <c r="A264" s="20" t="s">
        <v>1560</v>
      </c>
      <c r="B264" s="11" t="s">
        <v>1561</v>
      </c>
      <c r="C264" s="11" t="s">
        <v>1563</v>
      </c>
      <c r="D264" s="11" t="s">
        <v>211</v>
      </c>
      <c r="E264" s="11" t="s">
        <v>1564</v>
      </c>
    </row>
    <row r="265" ht="75" customHeight="1" spans="1:5">
      <c r="A265" s="20" t="s">
        <v>1565</v>
      </c>
      <c r="B265" s="11" t="s">
        <v>1566</v>
      </c>
      <c r="C265" s="11" t="s">
        <v>1568</v>
      </c>
      <c r="D265" s="11" t="s">
        <v>1569</v>
      </c>
      <c r="E265" s="11" t="s">
        <v>1570</v>
      </c>
    </row>
    <row r="266" ht="75" customHeight="1" spans="1:5">
      <c r="A266" s="20" t="s">
        <v>1571</v>
      </c>
      <c r="B266" s="11" t="s">
        <v>1572</v>
      </c>
      <c r="C266" s="11" t="s">
        <v>1573</v>
      </c>
      <c r="D266" s="11" t="s">
        <v>1574</v>
      </c>
      <c r="E266" s="11" t="s">
        <v>1575</v>
      </c>
    </row>
    <row r="267" ht="75" customHeight="1" spans="1:5">
      <c r="A267" s="20" t="s">
        <v>1577</v>
      </c>
      <c r="B267" s="11" t="s">
        <v>1578</v>
      </c>
      <c r="C267" s="11" t="s">
        <v>1580</v>
      </c>
      <c r="D267" s="11" t="s">
        <v>1581</v>
      </c>
      <c r="E267" s="11" t="s">
        <v>1582</v>
      </c>
    </row>
    <row r="268" ht="75" customHeight="1" spans="1:5">
      <c r="A268" s="20" t="s">
        <v>1583</v>
      </c>
      <c r="B268" s="11" t="s">
        <v>1584</v>
      </c>
      <c r="C268" s="11" t="s">
        <v>1585</v>
      </c>
      <c r="D268" s="11" t="s">
        <v>1586</v>
      </c>
      <c r="E268" s="11" t="s">
        <v>1587</v>
      </c>
    </row>
    <row r="269" ht="75" customHeight="1" spans="1:5">
      <c r="A269" s="20" t="s">
        <v>1588</v>
      </c>
      <c r="B269" s="11" t="s">
        <v>1589</v>
      </c>
      <c r="C269" s="11" t="s">
        <v>1591</v>
      </c>
      <c r="D269" s="11" t="s">
        <v>1592</v>
      </c>
      <c r="E269" s="11" t="s">
        <v>1593</v>
      </c>
    </row>
    <row r="270" ht="75" customHeight="1" spans="1:5">
      <c r="A270" s="20" t="s">
        <v>1594</v>
      </c>
      <c r="B270" s="11" t="s">
        <v>1595</v>
      </c>
      <c r="C270" s="11" t="s">
        <v>1596</v>
      </c>
      <c r="D270" s="11" t="s">
        <v>211</v>
      </c>
      <c r="E270" s="11" t="s">
        <v>1597</v>
      </c>
    </row>
    <row r="271" ht="75" customHeight="1" spans="1:5">
      <c r="A271" s="20" t="s">
        <v>1598</v>
      </c>
      <c r="B271" s="11" t="s">
        <v>1599</v>
      </c>
      <c r="C271" s="11" t="s">
        <v>1600</v>
      </c>
      <c r="D271" s="11" t="s">
        <v>1601</v>
      </c>
      <c r="E271" s="11" t="s">
        <v>1602</v>
      </c>
    </row>
    <row r="272" ht="75" customHeight="1" spans="1:5">
      <c r="A272" s="20" t="s">
        <v>1604</v>
      </c>
      <c r="B272" s="11" t="s">
        <v>1605</v>
      </c>
      <c r="C272" s="11" t="s">
        <v>1607</v>
      </c>
      <c r="D272" s="11" t="s">
        <v>211</v>
      </c>
      <c r="E272" s="11" t="s">
        <v>1608</v>
      </c>
    </row>
  </sheetData>
  <pageMargins left="0.75" right="0.75" top="1" bottom="1" header="0.511811023622047" footer="0.511811023622047"/>
  <pageSetup paperSize="1" orientation="landscape" horizontalDpi="300" verticalDpi="300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12" style="1" customWidth="1"/>
    <col min="2" max="2" width="15" style="1" customWidth="1"/>
    <col min="3" max="3" width="20" style="1" customWidth="1"/>
    <col min="4" max="4" width="10" style="1" customWidth="1"/>
    <col min="5" max="5" width="12" style="1" customWidth="1"/>
    <col min="6" max="6" width="14" style="1" customWidth="1"/>
    <col min="7" max="7" width="16" style="1" customWidth="1"/>
    <col min="8" max="8" width="12" style="1" customWidth="1"/>
    <col min="9" max="9" width="30" style="1" customWidth="1"/>
  </cols>
  <sheetData>
    <row r="1" ht="31.5" customHeight="1" spans="1:9">
      <c r="A1" s="19" t="s">
        <v>37</v>
      </c>
      <c r="B1" s="19" t="s">
        <v>0</v>
      </c>
      <c r="C1" s="19" t="s">
        <v>38</v>
      </c>
      <c r="D1" s="19" t="s">
        <v>3</v>
      </c>
      <c r="E1" s="19" t="s">
        <v>45</v>
      </c>
      <c r="F1" s="19" t="s">
        <v>48</v>
      </c>
      <c r="G1" s="19" t="s">
        <v>49</v>
      </c>
      <c r="H1" s="19" t="s">
        <v>47</v>
      </c>
      <c r="I1" s="19" t="s">
        <v>1609</v>
      </c>
    </row>
    <row r="2" ht="19.5" customHeight="1" spans="1:9">
      <c r="A2" s="20" t="str">
        <f>'Test Cases'!A2</f>
        <v>TC_0001</v>
      </c>
      <c r="B2" s="20" t="str">
        <f>'Test Cases'!B2</f>
        <v>TS_001</v>
      </c>
      <c r="C2" s="20" t="str">
        <f>'Test Cases'!D2</f>
        <v>Register</v>
      </c>
      <c r="D2" s="20" t="str">
        <f>'Test Cases'!J2</f>
        <v>P0</v>
      </c>
      <c r="E2" s="20" t="str">
        <f>'Test Cases'!L2</f>
        <v>Pass</v>
      </c>
      <c r="F2" s="20" t="str">
        <f>'Test Cases'!O2</f>
        <v>Ali Hassan</v>
      </c>
      <c r="G2" s="20" t="str">
        <f>'Test Cases'!P2</f>
        <v>2026-09-15</v>
      </c>
      <c r="H2" s="20">
        <f>'Test Cases'!N2</f>
        <v>0</v>
      </c>
      <c r="I2" s="11"/>
    </row>
    <row r="3" ht="19.5" customHeight="1" spans="1:9">
      <c r="A3" s="20" t="str">
        <f>'Test Cases'!A3</f>
        <v>TC_0002</v>
      </c>
      <c r="B3" s="20" t="str">
        <f>'Test Cases'!B3</f>
        <v>TS_001</v>
      </c>
      <c r="C3" s="20" t="str">
        <f>'Test Cases'!D3</f>
        <v>Register</v>
      </c>
      <c r="D3" s="20" t="str">
        <f>'Test Cases'!J3</f>
        <v>P0</v>
      </c>
      <c r="E3" s="20" t="str">
        <f>'Test Cases'!L3</f>
        <v>Pass</v>
      </c>
      <c r="F3" s="20" t="str">
        <f>'Test Cases'!O3</f>
        <v>Mona Fathy</v>
      </c>
      <c r="G3" s="20" t="str">
        <f>'Test Cases'!P3</f>
        <v>2026-09-15</v>
      </c>
      <c r="H3" s="20">
        <f>'Test Cases'!N3</f>
        <v>0</v>
      </c>
      <c r="I3" s="11"/>
    </row>
    <row r="4" ht="19.5" customHeight="1" spans="1:9">
      <c r="A4" s="20" t="str">
        <f>'Test Cases'!A4</f>
        <v>TC_0003</v>
      </c>
      <c r="B4" s="20" t="str">
        <f>'Test Cases'!B4</f>
        <v>TS_001</v>
      </c>
      <c r="C4" s="20" t="str">
        <f>'Test Cases'!D4</f>
        <v>Register</v>
      </c>
      <c r="D4" s="20" t="str">
        <f>'Test Cases'!J4</f>
        <v>P0</v>
      </c>
      <c r="E4" s="20" t="str">
        <f>'Test Cases'!L4</f>
        <v>Pass</v>
      </c>
      <c r="F4" s="20">
        <f>'Test Cases'!O4</f>
        <v>0</v>
      </c>
      <c r="G4" s="20">
        <f>'Test Cases'!P4</f>
        <v>0</v>
      </c>
      <c r="H4" s="20">
        <f>'Test Cases'!N4</f>
        <v>0</v>
      </c>
      <c r="I4" s="11"/>
    </row>
    <row r="5" ht="19.5" customHeight="1" spans="1:9">
      <c r="A5" s="20" t="str">
        <f>'Test Cases'!A5</f>
        <v>TC_0004</v>
      </c>
      <c r="B5" s="20" t="str">
        <f>'Test Cases'!B5</f>
        <v>TS_001</v>
      </c>
      <c r="C5" s="20" t="str">
        <f>'Test Cases'!D5</f>
        <v>Register</v>
      </c>
      <c r="D5" s="20" t="str">
        <f>'Test Cases'!J5</f>
        <v>P0</v>
      </c>
      <c r="E5" s="20" t="str">
        <f>'Test Cases'!L5</f>
        <v>Pass</v>
      </c>
      <c r="F5" s="20">
        <f>'Test Cases'!O5</f>
        <v>0</v>
      </c>
      <c r="G5" s="20">
        <f>'Test Cases'!P5</f>
        <v>0</v>
      </c>
      <c r="H5" s="20">
        <f>'Test Cases'!N5</f>
        <v>0</v>
      </c>
      <c r="I5" s="11"/>
    </row>
    <row r="6" ht="19.5" customHeight="1" spans="1:9">
      <c r="A6" s="20" t="str">
        <f>'Test Cases'!A6</f>
        <v>TC_0005</v>
      </c>
      <c r="B6" s="20" t="str">
        <f>'Test Cases'!B6</f>
        <v>TS_001</v>
      </c>
      <c r="C6" s="20" t="str">
        <f>'Test Cases'!D6</f>
        <v>Register</v>
      </c>
      <c r="D6" s="20" t="str">
        <f>'Test Cases'!J6</f>
        <v>P0</v>
      </c>
      <c r="E6" s="20" t="str">
        <f>'Test Cases'!L6</f>
        <v>Pass</v>
      </c>
      <c r="F6" s="20">
        <f>'Test Cases'!O6</f>
        <v>0</v>
      </c>
      <c r="G6" s="20">
        <f>'Test Cases'!P6</f>
        <v>0</v>
      </c>
      <c r="H6" s="20">
        <f>'Test Cases'!N6</f>
        <v>0</v>
      </c>
      <c r="I6" s="11"/>
    </row>
    <row r="7" ht="19.5" customHeight="1" spans="1:9">
      <c r="A7" s="20" t="str">
        <f>'Test Cases'!A7</f>
        <v>TC_0006</v>
      </c>
      <c r="B7" s="20" t="str">
        <f>'Test Cases'!B7</f>
        <v>TS_001</v>
      </c>
      <c r="C7" s="20" t="str">
        <f>'Test Cases'!D7</f>
        <v>Register</v>
      </c>
      <c r="D7" s="20" t="str">
        <f>'Test Cases'!J7</f>
        <v>P0</v>
      </c>
      <c r="E7" s="20" t="str">
        <f>'Test Cases'!L7</f>
        <v>Pass</v>
      </c>
      <c r="F7" s="20">
        <f>'Test Cases'!O7</f>
        <v>0</v>
      </c>
      <c r="G7" s="20">
        <f>'Test Cases'!P7</f>
        <v>0</v>
      </c>
      <c r="H7" s="20">
        <f>'Test Cases'!N7</f>
        <v>0</v>
      </c>
      <c r="I7" s="11"/>
    </row>
    <row r="8" ht="19.5" customHeight="1" spans="1:9">
      <c r="A8" s="20" t="str">
        <f>'Test Cases'!A8</f>
        <v>TC_0007</v>
      </c>
      <c r="B8" s="20" t="str">
        <f>'Test Cases'!B8</f>
        <v>TS_001</v>
      </c>
      <c r="C8" s="20" t="str">
        <f>'Test Cases'!D8</f>
        <v>Register</v>
      </c>
      <c r="D8" s="20" t="str">
        <f>'Test Cases'!J8</f>
        <v>P0</v>
      </c>
      <c r="E8" s="20" t="str">
        <f>'Test Cases'!L8</f>
        <v>Pass</v>
      </c>
      <c r="F8" s="20">
        <f>'Test Cases'!O8</f>
        <v>0</v>
      </c>
      <c r="G8" s="20">
        <f>'Test Cases'!P8</f>
        <v>0</v>
      </c>
      <c r="H8" s="20">
        <f>'Test Cases'!N8</f>
        <v>0</v>
      </c>
      <c r="I8" s="11"/>
    </row>
    <row r="9" ht="19.5" customHeight="1" spans="1:9">
      <c r="A9" s="20" t="str">
        <f>'Test Cases'!A9</f>
        <v>TC_0008</v>
      </c>
      <c r="B9" s="20" t="str">
        <f>'Test Cases'!B9</f>
        <v>TS_001</v>
      </c>
      <c r="C9" s="20" t="str">
        <f>'Test Cases'!D9</f>
        <v>Register</v>
      </c>
      <c r="D9" s="20" t="str">
        <f>'Test Cases'!J9</f>
        <v>P0</v>
      </c>
      <c r="E9" s="20" t="str">
        <f>'Test Cases'!L9</f>
        <v>Pass</v>
      </c>
      <c r="F9" s="20">
        <f>'Test Cases'!O9</f>
        <v>0</v>
      </c>
      <c r="G9" s="20">
        <f>'Test Cases'!P9</f>
        <v>0</v>
      </c>
      <c r="H9" s="20">
        <f>'Test Cases'!N9</f>
        <v>0</v>
      </c>
      <c r="I9" s="11"/>
    </row>
    <row r="10" ht="19.5" customHeight="1" spans="1:9">
      <c r="A10" s="20" t="str">
        <f>'Test Cases'!A10</f>
        <v>TC_0009</v>
      </c>
      <c r="B10" s="20" t="str">
        <f>'Test Cases'!B10</f>
        <v>TS_001</v>
      </c>
      <c r="C10" s="20" t="str">
        <f>'Test Cases'!D10</f>
        <v>Register</v>
      </c>
      <c r="D10" s="20" t="str">
        <f>'Test Cases'!J10</f>
        <v>P0</v>
      </c>
      <c r="E10" s="20" t="str">
        <f>'Test Cases'!L10</f>
        <v>Fail</v>
      </c>
      <c r="F10" s="20" t="str">
        <f>'Test Cases'!O10</f>
        <v>Mona Fathy</v>
      </c>
      <c r="G10" s="20" t="str">
        <f>'Test Cases'!P10</f>
        <v>2026-09-15</v>
      </c>
      <c r="H10" s="20" t="str">
        <f>'Test Cases'!N10</f>
        <v>BUG_001</v>
      </c>
      <c r="I10" s="11"/>
    </row>
    <row r="11" ht="19.5" customHeight="1" spans="1:9">
      <c r="A11" s="20" t="str">
        <f>'Test Cases'!A11</f>
        <v>TC_0010</v>
      </c>
      <c r="B11" s="20" t="str">
        <f>'Test Cases'!B11</f>
        <v>TS_001</v>
      </c>
      <c r="C11" s="20" t="str">
        <f>'Test Cases'!D11</f>
        <v>Register</v>
      </c>
      <c r="D11" s="20" t="str">
        <f>'Test Cases'!J11</f>
        <v>P0</v>
      </c>
      <c r="E11" s="20" t="str">
        <f>'Test Cases'!L11</f>
        <v>Not Run</v>
      </c>
      <c r="F11" s="20">
        <f>'Test Cases'!O11</f>
        <v>0</v>
      </c>
      <c r="G11" s="20">
        <f>'Test Cases'!P11</f>
        <v>0</v>
      </c>
      <c r="H11" s="20">
        <f>'Test Cases'!N11</f>
        <v>0</v>
      </c>
      <c r="I11" s="11"/>
    </row>
    <row r="12" ht="19.5" customHeight="1" spans="1:9">
      <c r="A12" s="20" t="str">
        <f>'Test Cases'!A12</f>
        <v>TC_0011</v>
      </c>
      <c r="B12" s="20" t="str">
        <f>'Test Cases'!B12</f>
        <v>TS_001</v>
      </c>
      <c r="C12" s="20" t="str">
        <f>'Test Cases'!D12</f>
        <v>Register</v>
      </c>
      <c r="D12" s="20" t="str">
        <f>'Test Cases'!J12</f>
        <v>P0</v>
      </c>
      <c r="E12" s="20" t="str">
        <f>'Test Cases'!L12</f>
        <v>Not Run</v>
      </c>
      <c r="F12" s="20">
        <f>'Test Cases'!O12</f>
        <v>0</v>
      </c>
      <c r="G12" s="20">
        <f>'Test Cases'!P12</f>
        <v>0</v>
      </c>
      <c r="H12" s="20">
        <f>'Test Cases'!N12</f>
        <v>0</v>
      </c>
      <c r="I12" s="11"/>
    </row>
    <row r="13" ht="19.5" customHeight="1" spans="1:9">
      <c r="A13" s="20" t="str">
        <f>'Test Cases'!A13</f>
        <v>TC_0012</v>
      </c>
      <c r="B13" s="20" t="str">
        <f>'Test Cases'!B13</f>
        <v>TS_001</v>
      </c>
      <c r="C13" s="20" t="str">
        <f>'Test Cases'!D13</f>
        <v>Register</v>
      </c>
      <c r="D13" s="20" t="str">
        <f>'Test Cases'!J13</f>
        <v>P0</v>
      </c>
      <c r="E13" s="20" t="str">
        <f>'Test Cases'!L13</f>
        <v>Not Run</v>
      </c>
      <c r="F13" s="20">
        <f>'Test Cases'!O13</f>
        <v>0</v>
      </c>
      <c r="G13" s="20">
        <f>'Test Cases'!P13</f>
        <v>0</v>
      </c>
      <c r="H13" s="20">
        <f>'Test Cases'!N13</f>
        <v>0</v>
      </c>
      <c r="I13" s="11"/>
    </row>
    <row r="14" ht="19.5" customHeight="1" spans="1:9">
      <c r="A14" s="20" t="str">
        <f>'Test Cases'!A14</f>
        <v>TC_0013</v>
      </c>
      <c r="B14" s="20" t="str">
        <f>'Test Cases'!B14</f>
        <v>TS_001</v>
      </c>
      <c r="C14" s="20" t="str">
        <f>'Test Cases'!D14</f>
        <v>Register</v>
      </c>
      <c r="D14" s="20" t="str">
        <f>'Test Cases'!J14</f>
        <v>P0</v>
      </c>
      <c r="E14" s="20" t="str">
        <f>'Test Cases'!L14</f>
        <v>Pass</v>
      </c>
      <c r="F14" s="20" t="str">
        <f>'Test Cases'!O14</f>
        <v>Ali Hassan</v>
      </c>
      <c r="G14" s="20" t="str">
        <f>'Test Cases'!P14</f>
        <v>2026-09-15</v>
      </c>
      <c r="H14" s="20">
        <f>'Test Cases'!N14</f>
        <v>0</v>
      </c>
      <c r="I14" s="11"/>
    </row>
    <row r="15" ht="19.5" customHeight="1" spans="1:9">
      <c r="A15" s="20" t="str">
        <f>'Test Cases'!A15</f>
        <v>TC_0014</v>
      </c>
      <c r="B15" s="20" t="str">
        <f>'Test Cases'!B15</f>
        <v>TS_001</v>
      </c>
      <c r="C15" s="20" t="str">
        <f>'Test Cases'!D15</f>
        <v>Register</v>
      </c>
      <c r="D15" s="20" t="str">
        <f>'Test Cases'!J15</f>
        <v>P0</v>
      </c>
      <c r="E15" s="20" t="str">
        <f>'Test Cases'!L15</f>
        <v>Pass</v>
      </c>
      <c r="F15" s="20">
        <f>'Test Cases'!O15</f>
        <v>0</v>
      </c>
      <c r="G15" s="20">
        <f>'Test Cases'!P15</f>
        <v>0</v>
      </c>
      <c r="H15" s="20">
        <f>'Test Cases'!N15</f>
        <v>0</v>
      </c>
      <c r="I15" s="11"/>
    </row>
    <row r="16" ht="19.5" customHeight="1" spans="1:9">
      <c r="A16" s="20" t="str">
        <f>'Test Cases'!A16</f>
        <v>TC_0015</v>
      </c>
      <c r="B16" s="20" t="str">
        <f>'Test Cases'!B16</f>
        <v>TS_001</v>
      </c>
      <c r="C16" s="20" t="str">
        <f>'Test Cases'!D16</f>
        <v>Register</v>
      </c>
      <c r="D16" s="20" t="str">
        <f>'Test Cases'!J16</f>
        <v>P0</v>
      </c>
      <c r="E16" s="20" t="str">
        <f>'Test Cases'!L16</f>
        <v>Pass</v>
      </c>
      <c r="F16" s="20">
        <f>'Test Cases'!O16</f>
        <v>0</v>
      </c>
      <c r="G16" s="20">
        <f>'Test Cases'!P16</f>
        <v>0</v>
      </c>
      <c r="H16" s="20">
        <f>'Test Cases'!N16</f>
        <v>0</v>
      </c>
      <c r="I16" s="11"/>
    </row>
    <row r="17" ht="19.5" customHeight="1" spans="1:9">
      <c r="A17" s="20" t="str">
        <f>'Test Cases'!A17</f>
        <v>TC_0016</v>
      </c>
      <c r="B17" s="20" t="str">
        <f>'Test Cases'!B17</f>
        <v>TS_001</v>
      </c>
      <c r="C17" s="20" t="str">
        <f>'Test Cases'!D17</f>
        <v>Register</v>
      </c>
      <c r="D17" s="20" t="str">
        <f>'Test Cases'!J17</f>
        <v>P0</v>
      </c>
      <c r="E17" s="20" t="str">
        <f>'Test Cases'!L17</f>
        <v>Pass</v>
      </c>
      <c r="F17" s="20">
        <f>'Test Cases'!O17</f>
        <v>0</v>
      </c>
      <c r="G17" s="20">
        <f>'Test Cases'!P17</f>
        <v>0</v>
      </c>
      <c r="H17" s="20">
        <f>'Test Cases'!N17</f>
        <v>0</v>
      </c>
      <c r="I17" s="11"/>
    </row>
    <row r="18" ht="19.5" customHeight="1" spans="1:9">
      <c r="A18" s="20" t="str">
        <f>'Test Cases'!A18</f>
        <v>TC_0017</v>
      </c>
      <c r="B18" s="20" t="str">
        <f>'Test Cases'!B18</f>
        <v>TS_001</v>
      </c>
      <c r="C18" s="20" t="str">
        <f>'Test Cases'!D18</f>
        <v>Register</v>
      </c>
      <c r="D18" s="20" t="str">
        <f>'Test Cases'!J18</f>
        <v>P0</v>
      </c>
      <c r="E18" s="20" t="str">
        <f>'Test Cases'!L18</f>
        <v>Pass</v>
      </c>
      <c r="F18" s="20">
        <f>'Test Cases'!O18</f>
        <v>0</v>
      </c>
      <c r="G18" s="20">
        <f>'Test Cases'!P18</f>
        <v>0</v>
      </c>
      <c r="H18" s="20">
        <f>'Test Cases'!N18</f>
        <v>0</v>
      </c>
      <c r="I18" s="11"/>
    </row>
    <row r="19" ht="19.5" customHeight="1" spans="1:9">
      <c r="A19" s="20" t="str">
        <f>'Test Cases'!A19</f>
        <v>TC_0018</v>
      </c>
      <c r="B19" s="20" t="str">
        <f>'Test Cases'!B19</f>
        <v>TS_001</v>
      </c>
      <c r="C19" s="20" t="str">
        <f>'Test Cases'!D19</f>
        <v>Register</v>
      </c>
      <c r="D19" s="20" t="str">
        <f>'Test Cases'!J19</f>
        <v>P0</v>
      </c>
      <c r="E19" s="20" t="str">
        <f>'Test Cases'!L19</f>
        <v>Pass</v>
      </c>
      <c r="F19" s="20">
        <f>'Test Cases'!O19</f>
        <v>0</v>
      </c>
      <c r="G19" s="20">
        <f>'Test Cases'!P19</f>
        <v>0</v>
      </c>
      <c r="H19" s="20">
        <f>'Test Cases'!N19</f>
        <v>0</v>
      </c>
      <c r="I19" s="11"/>
    </row>
    <row r="20" ht="19.5" customHeight="1" spans="1:9">
      <c r="A20" s="20" t="str">
        <f>'Test Cases'!A20</f>
        <v>TC_0019</v>
      </c>
      <c r="B20" s="20" t="str">
        <f>'Test Cases'!B20</f>
        <v>TS_001</v>
      </c>
      <c r="C20" s="20" t="str">
        <f>'Test Cases'!D20</f>
        <v>Register</v>
      </c>
      <c r="D20" s="20" t="str">
        <f>'Test Cases'!J20</f>
        <v>P0</v>
      </c>
      <c r="E20" s="20" t="str">
        <f>'Test Cases'!L20</f>
        <v>Pass</v>
      </c>
      <c r="F20" s="20">
        <f>'Test Cases'!O20</f>
        <v>0</v>
      </c>
      <c r="G20" s="20">
        <f>'Test Cases'!P20</f>
        <v>0</v>
      </c>
      <c r="H20" s="20">
        <f>'Test Cases'!N20</f>
        <v>0</v>
      </c>
      <c r="I20" s="11"/>
    </row>
    <row r="21" ht="19.5" customHeight="1" spans="1:9">
      <c r="A21" s="20" t="str">
        <f>'Test Cases'!A21</f>
        <v>TC_0020</v>
      </c>
      <c r="B21" s="20" t="str">
        <f>'Test Cases'!B21</f>
        <v>TS_001</v>
      </c>
      <c r="C21" s="20" t="str">
        <f>'Test Cases'!D21</f>
        <v>Register</v>
      </c>
      <c r="D21" s="20" t="str">
        <f>'Test Cases'!J21</f>
        <v>P0</v>
      </c>
      <c r="E21" s="20" t="str">
        <f>'Test Cases'!L21</f>
        <v>Pass</v>
      </c>
      <c r="F21" s="20">
        <f>'Test Cases'!O21</f>
        <v>0</v>
      </c>
      <c r="G21" s="20">
        <f>'Test Cases'!P21</f>
        <v>0</v>
      </c>
      <c r="H21" s="20">
        <f>'Test Cases'!N21</f>
        <v>0</v>
      </c>
      <c r="I21" s="11"/>
    </row>
    <row r="22" ht="19.5" customHeight="1" spans="1:9">
      <c r="A22" s="20" t="str">
        <f>'Test Cases'!A22</f>
        <v>TC_0021</v>
      </c>
      <c r="B22" s="20" t="str">
        <f>'Test Cases'!B22</f>
        <v>TS_001</v>
      </c>
      <c r="C22" s="20" t="str">
        <f>'Test Cases'!D22</f>
        <v>Register</v>
      </c>
      <c r="D22" s="20" t="str">
        <f>'Test Cases'!J22</f>
        <v>P0</v>
      </c>
      <c r="E22" s="20" t="str">
        <f>'Test Cases'!L22</f>
        <v>Pass</v>
      </c>
      <c r="F22" s="20">
        <f>'Test Cases'!O22</f>
        <v>0</v>
      </c>
      <c r="G22" s="20">
        <f>'Test Cases'!P22</f>
        <v>0</v>
      </c>
      <c r="H22" s="20">
        <f>'Test Cases'!N22</f>
        <v>0</v>
      </c>
      <c r="I22" s="11"/>
    </row>
    <row r="23" ht="19.5" customHeight="1" spans="1:9">
      <c r="A23" s="20" t="str">
        <f>'Test Cases'!A23</f>
        <v>TC_0022</v>
      </c>
      <c r="B23" s="20" t="str">
        <f>'Test Cases'!B23</f>
        <v>TS_001</v>
      </c>
      <c r="C23" s="20" t="str">
        <f>'Test Cases'!D23</f>
        <v>Register</v>
      </c>
      <c r="D23" s="20" t="str">
        <f>'Test Cases'!J23</f>
        <v>P0</v>
      </c>
      <c r="E23" s="20" t="str">
        <f>'Test Cases'!L23</f>
        <v>Pass</v>
      </c>
      <c r="F23" s="20">
        <f>'Test Cases'!O23</f>
        <v>0</v>
      </c>
      <c r="G23" s="20">
        <f>'Test Cases'!P23</f>
        <v>0</v>
      </c>
      <c r="H23" s="20">
        <f>'Test Cases'!N23</f>
        <v>0</v>
      </c>
      <c r="I23" s="11"/>
    </row>
    <row r="24" ht="19.5" customHeight="1" spans="1:9">
      <c r="A24" s="20" t="str">
        <f>'Test Cases'!A24</f>
        <v>TC_0023</v>
      </c>
      <c r="B24" s="20" t="str">
        <f>'Test Cases'!B24</f>
        <v>TS_001</v>
      </c>
      <c r="C24" s="20" t="str">
        <f>'Test Cases'!D24</f>
        <v>Register</v>
      </c>
      <c r="D24" s="20" t="str">
        <f>'Test Cases'!J24</f>
        <v>P0</v>
      </c>
      <c r="E24" s="20" t="str">
        <f>'Test Cases'!L24</f>
        <v>Pass</v>
      </c>
      <c r="F24" s="20">
        <f>'Test Cases'!O24</f>
        <v>0</v>
      </c>
      <c r="G24" s="20">
        <f>'Test Cases'!P24</f>
        <v>0</v>
      </c>
      <c r="H24" s="20">
        <f>'Test Cases'!N24</f>
        <v>0</v>
      </c>
      <c r="I24" s="11"/>
    </row>
    <row r="25" ht="19.5" customHeight="1" spans="1:9">
      <c r="A25" s="20" t="str">
        <f>'Test Cases'!A25</f>
        <v>TC_0024</v>
      </c>
      <c r="B25" s="20" t="str">
        <f>'Test Cases'!B25</f>
        <v>TS_001</v>
      </c>
      <c r="C25" s="20" t="str">
        <f>'Test Cases'!D25</f>
        <v>Register</v>
      </c>
      <c r="D25" s="20" t="str">
        <f>'Test Cases'!J25</f>
        <v>P0</v>
      </c>
      <c r="E25" s="20" t="str">
        <f>'Test Cases'!L25</f>
        <v>Pass</v>
      </c>
      <c r="F25" s="20">
        <f>'Test Cases'!O25</f>
        <v>0</v>
      </c>
      <c r="G25" s="20">
        <f>'Test Cases'!P25</f>
        <v>0</v>
      </c>
      <c r="H25" s="20">
        <f>'Test Cases'!N25</f>
        <v>0</v>
      </c>
      <c r="I25" s="11"/>
    </row>
    <row r="26" ht="19.5" customHeight="1" spans="1:9">
      <c r="A26" s="20" t="str">
        <f>'Test Cases'!A26</f>
        <v>TC_0025</v>
      </c>
      <c r="B26" s="20" t="str">
        <f>'Test Cases'!B26</f>
        <v>TS_001</v>
      </c>
      <c r="C26" s="20" t="str">
        <f>'Test Cases'!D26</f>
        <v>Register</v>
      </c>
      <c r="D26" s="20" t="str">
        <f>'Test Cases'!J26</f>
        <v>P0</v>
      </c>
      <c r="E26" s="20" t="str">
        <f>'Test Cases'!L26</f>
        <v>Pass</v>
      </c>
      <c r="F26" s="20" t="str">
        <f>'Test Cases'!O26</f>
        <v>Youssef Adel</v>
      </c>
      <c r="G26" s="20" t="str">
        <f>'Test Cases'!P26</f>
        <v>2026-09-16</v>
      </c>
      <c r="H26" s="20">
        <f>'Test Cases'!N26</f>
        <v>0</v>
      </c>
      <c r="I26" s="11"/>
    </row>
    <row r="27" ht="19.5" customHeight="1" spans="1:9">
      <c r="A27" s="20" t="str">
        <f>'Test Cases'!A27</f>
        <v>TC_0026</v>
      </c>
      <c r="B27" s="20" t="str">
        <f>'Test Cases'!B27</f>
        <v>TS_001</v>
      </c>
      <c r="C27" s="20" t="str">
        <f>'Test Cases'!D27</f>
        <v>Register</v>
      </c>
      <c r="D27" s="20" t="str">
        <f>'Test Cases'!J27</f>
        <v>P0</v>
      </c>
      <c r="E27" s="20" t="str">
        <f>'Test Cases'!L27</f>
        <v>Pass</v>
      </c>
      <c r="F27" s="20">
        <f>'Test Cases'!O27</f>
        <v>0</v>
      </c>
      <c r="G27" s="20">
        <f>'Test Cases'!P27</f>
        <v>0</v>
      </c>
      <c r="H27" s="20">
        <f>'Test Cases'!N27</f>
        <v>0</v>
      </c>
      <c r="I27" s="11"/>
    </row>
    <row r="28" ht="19.5" customHeight="1" spans="1:9">
      <c r="A28" s="20" t="str">
        <f>'Test Cases'!A28</f>
        <v>TC_0027</v>
      </c>
      <c r="B28" s="20" t="str">
        <f>'Test Cases'!B28</f>
        <v>TS_001</v>
      </c>
      <c r="C28" s="20" t="str">
        <f>'Test Cases'!D28</f>
        <v>Register</v>
      </c>
      <c r="D28" s="20" t="str">
        <f>'Test Cases'!J28</f>
        <v>P0</v>
      </c>
      <c r="E28" s="20" t="str">
        <f>'Test Cases'!L28</f>
        <v>Pass</v>
      </c>
      <c r="F28" s="20">
        <f>'Test Cases'!O28</f>
        <v>0</v>
      </c>
      <c r="G28" s="20">
        <f>'Test Cases'!P28</f>
        <v>0</v>
      </c>
      <c r="H28" s="20">
        <f>'Test Cases'!N28</f>
        <v>0</v>
      </c>
      <c r="I28" s="11"/>
    </row>
    <row r="29" ht="19.5" customHeight="1" spans="1:9">
      <c r="A29" s="20" t="str">
        <f>'Test Cases'!A29</f>
        <v>TC_0028</v>
      </c>
      <c r="B29" s="20" t="str">
        <f>'Test Cases'!B29</f>
        <v>TS_002</v>
      </c>
      <c r="C29" s="20" t="str">
        <f>'Test Cases'!D29</f>
        <v>Login</v>
      </c>
      <c r="D29" s="20" t="str">
        <f>'Test Cases'!J29</f>
        <v>P0</v>
      </c>
      <c r="E29" s="20" t="str">
        <f>'Test Cases'!L29</f>
        <v>Pass</v>
      </c>
      <c r="F29" s="20" t="str">
        <f>'Test Cases'!O29</f>
        <v>Mona Fathy</v>
      </c>
      <c r="G29" s="20" t="str">
        <f>'Test Cases'!P29</f>
        <v>2026-09-16</v>
      </c>
      <c r="H29" s="20">
        <f>'Test Cases'!N29</f>
        <v>0</v>
      </c>
      <c r="I29" s="11"/>
    </row>
    <row r="30" ht="19.5" customHeight="1" spans="1:9">
      <c r="A30" s="20" t="str">
        <f>'Test Cases'!A30</f>
        <v>TC_0029</v>
      </c>
      <c r="B30" s="20" t="str">
        <f>'Test Cases'!B30</f>
        <v>TS_002</v>
      </c>
      <c r="C30" s="20" t="str">
        <f>'Test Cases'!D30</f>
        <v>Login</v>
      </c>
      <c r="D30" s="20" t="str">
        <f>'Test Cases'!J30</f>
        <v>P0</v>
      </c>
      <c r="E30" s="20" t="str">
        <f>'Test Cases'!L30</f>
        <v>Pass</v>
      </c>
      <c r="F30" s="20" t="str">
        <f>'Test Cases'!O30</f>
        <v>Mona Fathy</v>
      </c>
      <c r="G30" s="20" t="str">
        <f>'Test Cases'!P30</f>
        <v>2026-09-16</v>
      </c>
      <c r="H30" s="20">
        <f>'Test Cases'!N30</f>
        <v>0</v>
      </c>
      <c r="I30" s="11"/>
    </row>
    <row r="31" ht="19.5" customHeight="1" spans="1:9">
      <c r="A31" s="20" t="str">
        <f>'Test Cases'!A31</f>
        <v>TC_0030</v>
      </c>
      <c r="B31" s="20" t="str">
        <f>'Test Cases'!B31</f>
        <v>TS_002</v>
      </c>
      <c r="C31" s="20" t="str">
        <f>'Test Cases'!D31</f>
        <v>Login</v>
      </c>
      <c r="D31" s="20" t="str">
        <f>'Test Cases'!J31</f>
        <v>P0</v>
      </c>
      <c r="E31" s="20" t="str">
        <f>'Test Cases'!L31</f>
        <v>Pass</v>
      </c>
      <c r="F31" s="20">
        <f>'Test Cases'!O31</f>
        <v>0</v>
      </c>
      <c r="G31" s="20">
        <f>'Test Cases'!P31</f>
        <v>0</v>
      </c>
      <c r="H31" s="20">
        <f>'Test Cases'!N31</f>
        <v>0</v>
      </c>
      <c r="I31" s="11"/>
    </row>
    <row r="32" ht="19.5" customHeight="1" spans="1:9">
      <c r="A32" s="20" t="str">
        <f>'Test Cases'!A32</f>
        <v>TC_0031</v>
      </c>
      <c r="B32" s="20" t="str">
        <f>'Test Cases'!B32</f>
        <v>TS_002</v>
      </c>
      <c r="C32" s="20" t="str">
        <f>'Test Cases'!D32</f>
        <v>Login</v>
      </c>
      <c r="D32" s="20" t="str">
        <f>'Test Cases'!J32</f>
        <v>P0</v>
      </c>
      <c r="E32" s="20" t="str">
        <f>'Test Cases'!L32</f>
        <v>Pass</v>
      </c>
      <c r="F32" s="20">
        <f>'Test Cases'!O32</f>
        <v>0</v>
      </c>
      <c r="G32" s="20">
        <f>'Test Cases'!P32</f>
        <v>0</v>
      </c>
      <c r="H32" s="20">
        <f>'Test Cases'!N32</f>
        <v>0</v>
      </c>
      <c r="I32" s="11"/>
    </row>
    <row r="33" ht="19.5" customHeight="1" spans="1:9">
      <c r="A33" s="20" t="str">
        <f>'Test Cases'!A33</f>
        <v>TC_0032</v>
      </c>
      <c r="B33" s="20" t="str">
        <f>'Test Cases'!B33</f>
        <v>TS_002</v>
      </c>
      <c r="C33" s="20" t="str">
        <f>'Test Cases'!D33</f>
        <v>Login</v>
      </c>
      <c r="D33" s="20" t="str">
        <f>'Test Cases'!J33</f>
        <v>P0</v>
      </c>
      <c r="E33" s="20" t="str">
        <f>'Test Cases'!L33</f>
        <v>Pass</v>
      </c>
      <c r="F33" s="20">
        <f>'Test Cases'!O33</f>
        <v>0</v>
      </c>
      <c r="G33" s="20">
        <f>'Test Cases'!P33</f>
        <v>0</v>
      </c>
      <c r="H33" s="20">
        <f>'Test Cases'!N33</f>
        <v>0</v>
      </c>
      <c r="I33" s="11"/>
    </row>
    <row r="34" ht="19.5" customHeight="1" spans="1:9">
      <c r="A34" s="20" t="str">
        <f>'Test Cases'!A34</f>
        <v>TC_0033</v>
      </c>
      <c r="B34" s="20" t="str">
        <f>'Test Cases'!B34</f>
        <v>TS_002</v>
      </c>
      <c r="C34" s="20" t="str">
        <f>'Test Cases'!D34</f>
        <v>Login</v>
      </c>
      <c r="D34" s="20" t="str">
        <f>'Test Cases'!J34</f>
        <v>P0</v>
      </c>
      <c r="E34" s="20" t="str">
        <f>'Test Cases'!L34</f>
        <v>Pass</v>
      </c>
      <c r="F34" s="20">
        <f>'Test Cases'!O34</f>
        <v>0</v>
      </c>
      <c r="G34" s="20">
        <f>'Test Cases'!P34</f>
        <v>0</v>
      </c>
      <c r="H34" s="20">
        <f>'Test Cases'!N34</f>
        <v>0</v>
      </c>
      <c r="I34" s="11"/>
    </row>
    <row r="35" ht="19.5" customHeight="1" spans="1:9">
      <c r="A35" s="20" t="str">
        <f>'Test Cases'!A35</f>
        <v>TC_0034</v>
      </c>
      <c r="B35" s="20" t="str">
        <f>'Test Cases'!B35</f>
        <v>TS_002</v>
      </c>
      <c r="C35" s="20" t="str">
        <f>'Test Cases'!D35</f>
        <v>Login</v>
      </c>
      <c r="D35" s="20" t="str">
        <f>'Test Cases'!J35</f>
        <v>P0</v>
      </c>
      <c r="E35" s="20" t="str">
        <f>'Test Cases'!L35</f>
        <v>Pass</v>
      </c>
      <c r="F35" s="20">
        <f>'Test Cases'!O35</f>
        <v>0</v>
      </c>
      <c r="G35" s="20">
        <f>'Test Cases'!P35</f>
        <v>0</v>
      </c>
      <c r="H35" s="20">
        <f>'Test Cases'!N35</f>
        <v>0</v>
      </c>
      <c r="I35" s="11"/>
    </row>
    <row r="36" ht="19.5" customHeight="1" spans="1:9">
      <c r="A36" s="20" t="str">
        <f>'Test Cases'!A36</f>
        <v>TC_0035</v>
      </c>
      <c r="B36" s="20" t="str">
        <f>'Test Cases'!B36</f>
        <v>TS_002</v>
      </c>
      <c r="C36" s="20" t="str">
        <f>'Test Cases'!D36</f>
        <v>Login</v>
      </c>
      <c r="D36" s="20" t="str">
        <f>'Test Cases'!J36</f>
        <v>P0</v>
      </c>
      <c r="E36" s="20" t="str">
        <f>'Test Cases'!L36</f>
        <v>Pass</v>
      </c>
      <c r="F36" s="20">
        <f>'Test Cases'!O36</f>
        <v>0</v>
      </c>
      <c r="G36" s="20">
        <f>'Test Cases'!P36</f>
        <v>0</v>
      </c>
      <c r="H36" s="20">
        <f>'Test Cases'!N36</f>
        <v>0</v>
      </c>
      <c r="I36" s="11"/>
    </row>
    <row r="37" ht="19.5" customHeight="1" spans="1:9">
      <c r="A37" s="20" t="str">
        <f>'Test Cases'!A37</f>
        <v>TC_0036</v>
      </c>
      <c r="B37" s="20" t="str">
        <f>'Test Cases'!B37</f>
        <v>TS_002</v>
      </c>
      <c r="C37" s="20" t="str">
        <f>'Test Cases'!D37</f>
        <v>Login</v>
      </c>
      <c r="D37" s="20" t="str">
        <f>'Test Cases'!J37</f>
        <v>P0</v>
      </c>
      <c r="E37" s="20" t="str">
        <f>'Test Cases'!L37</f>
        <v>Pass</v>
      </c>
      <c r="F37" s="20">
        <f>'Test Cases'!O37</f>
        <v>0</v>
      </c>
      <c r="G37" s="20">
        <f>'Test Cases'!P37</f>
        <v>0</v>
      </c>
      <c r="H37" s="20">
        <f>'Test Cases'!N37</f>
        <v>0</v>
      </c>
      <c r="I37" s="11"/>
    </row>
    <row r="38" ht="19.5" customHeight="1" spans="1:9">
      <c r="A38" s="20" t="str">
        <f>'Test Cases'!A38</f>
        <v>TC_0037</v>
      </c>
      <c r="B38" s="20" t="str">
        <f>'Test Cases'!B38</f>
        <v>TS_002</v>
      </c>
      <c r="C38" s="20" t="str">
        <f>'Test Cases'!D38</f>
        <v>Login</v>
      </c>
      <c r="D38" s="20" t="str">
        <f>'Test Cases'!J38</f>
        <v>P0</v>
      </c>
      <c r="E38" s="20" t="str">
        <f>'Test Cases'!L38</f>
        <v>Pass</v>
      </c>
      <c r="F38" s="20">
        <f>'Test Cases'!O38</f>
        <v>0</v>
      </c>
      <c r="G38" s="20">
        <f>'Test Cases'!P38</f>
        <v>0</v>
      </c>
      <c r="H38" s="20">
        <f>'Test Cases'!N38</f>
        <v>0</v>
      </c>
      <c r="I38" s="11"/>
    </row>
    <row r="39" ht="19.5" customHeight="1" spans="1:9">
      <c r="A39" s="20" t="str">
        <f>'Test Cases'!A39</f>
        <v>TC_0038</v>
      </c>
      <c r="B39" s="20" t="str">
        <f>'Test Cases'!B39</f>
        <v>TS_002</v>
      </c>
      <c r="C39" s="20" t="str">
        <f>'Test Cases'!D39</f>
        <v>Login</v>
      </c>
      <c r="D39" s="20" t="str">
        <f>'Test Cases'!J39</f>
        <v>P0</v>
      </c>
      <c r="E39" s="20" t="str">
        <f>'Test Cases'!L39</f>
        <v>Pass</v>
      </c>
      <c r="F39" s="20">
        <f>'Test Cases'!O39</f>
        <v>0</v>
      </c>
      <c r="G39" s="20">
        <f>'Test Cases'!P39</f>
        <v>0</v>
      </c>
      <c r="H39" s="20">
        <f>'Test Cases'!N39</f>
        <v>0</v>
      </c>
      <c r="I39" s="11"/>
    </row>
    <row r="40" ht="19.5" customHeight="1" spans="1:9">
      <c r="A40" s="20" t="str">
        <f>'Test Cases'!A40</f>
        <v>TC_0039</v>
      </c>
      <c r="B40" s="20" t="str">
        <f>'Test Cases'!B40</f>
        <v>TS_002</v>
      </c>
      <c r="C40" s="20" t="str">
        <f>'Test Cases'!D40</f>
        <v>Login</v>
      </c>
      <c r="D40" s="20" t="str">
        <f>'Test Cases'!J40</f>
        <v>P0</v>
      </c>
      <c r="E40" s="20" t="str">
        <f>'Test Cases'!L40</f>
        <v>Pass</v>
      </c>
      <c r="F40" s="20">
        <f>'Test Cases'!O40</f>
        <v>0</v>
      </c>
      <c r="G40" s="20">
        <f>'Test Cases'!P40</f>
        <v>0</v>
      </c>
      <c r="H40" s="20">
        <f>'Test Cases'!N40</f>
        <v>0</v>
      </c>
      <c r="I40" s="11"/>
    </row>
    <row r="41" ht="19.5" customHeight="1" spans="1:9">
      <c r="A41" s="20" t="str">
        <f>'Test Cases'!A41</f>
        <v>TC_0040</v>
      </c>
      <c r="B41" s="20" t="str">
        <f>'Test Cases'!B41</f>
        <v>TS_002</v>
      </c>
      <c r="C41" s="20" t="str">
        <f>'Test Cases'!D41</f>
        <v>Login</v>
      </c>
      <c r="D41" s="20" t="str">
        <f>'Test Cases'!J41</f>
        <v>P0</v>
      </c>
      <c r="E41" s="20" t="str">
        <f>'Test Cases'!L41</f>
        <v>Pass</v>
      </c>
      <c r="F41" s="20">
        <f>'Test Cases'!O41</f>
        <v>0</v>
      </c>
      <c r="G41" s="20">
        <f>'Test Cases'!P41</f>
        <v>0</v>
      </c>
      <c r="H41" s="20">
        <f>'Test Cases'!N41</f>
        <v>0</v>
      </c>
      <c r="I41" s="11"/>
    </row>
    <row r="42" ht="19.5" customHeight="1" spans="1:9">
      <c r="A42" s="20" t="str">
        <f>'Test Cases'!A42</f>
        <v>TC_0041</v>
      </c>
      <c r="B42" s="20" t="str">
        <f>'Test Cases'!B42</f>
        <v>TS_002</v>
      </c>
      <c r="C42" s="20" t="str">
        <f>'Test Cases'!D42</f>
        <v>Login</v>
      </c>
      <c r="D42" s="20" t="str">
        <f>'Test Cases'!J42</f>
        <v>P0</v>
      </c>
      <c r="E42" s="20" t="str">
        <f>'Test Cases'!L42</f>
        <v>Fail</v>
      </c>
      <c r="F42" s="20">
        <f>'Test Cases'!O42</f>
        <v>0</v>
      </c>
      <c r="G42" s="20">
        <f>'Test Cases'!P42</f>
        <v>0</v>
      </c>
      <c r="H42" s="20">
        <f>'Test Cases'!N42</f>
        <v>0</v>
      </c>
      <c r="I42" s="11"/>
    </row>
    <row r="43" ht="19.5" customHeight="1" spans="1:9">
      <c r="A43" s="20" t="str">
        <f>'Test Cases'!A43</f>
        <v>TC_0042</v>
      </c>
      <c r="B43" s="20" t="str">
        <f>'Test Cases'!B43</f>
        <v>TS_002</v>
      </c>
      <c r="C43" s="20" t="str">
        <f>'Test Cases'!D43</f>
        <v>Login</v>
      </c>
      <c r="D43" s="20" t="str">
        <f>'Test Cases'!J43</f>
        <v>P0</v>
      </c>
      <c r="E43" s="20" t="str">
        <f>'Test Cases'!L43</f>
        <v>Pass</v>
      </c>
      <c r="F43" s="20" t="str">
        <f>'Test Cases'!O43</f>
        <v>Ali Hassan</v>
      </c>
      <c r="G43" s="20" t="str">
        <f>'Test Cases'!P43</f>
        <v>2026-09-16</v>
      </c>
      <c r="H43" s="20" t="str">
        <f>'Test Cases'!N43</f>
        <v>BUG_002</v>
      </c>
      <c r="I43" s="11"/>
    </row>
    <row r="44" ht="19.5" customHeight="1" spans="1:9">
      <c r="A44" s="20" t="str">
        <f>'Test Cases'!A44</f>
        <v>TC_0043</v>
      </c>
      <c r="B44" s="20" t="str">
        <f>'Test Cases'!B44</f>
        <v>TS_002</v>
      </c>
      <c r="C44" s="20" t="str">
        <f>'Test Cases'!D44</f>
        <v>Login</v>
      </c>
      <c r="D44" s="20" t="str">
        <f>'Test Cases'!J44</f>
        <v>P0</v>
      </c>
      <c r="E44" s="20" t="str">
        <f>'Test Cases'!L44</f>
        <v>Pass</v>
      </c>
      <c r="F44" s="20">
        <f>'Test Cases'!O44</f>
        <v>0</v>
      </c>
      <c r="G44" s="20">
        <f>'Test Cases'!P44</f>
        <v>0</v>
      </c>
      <c r="H44" s="20">
        <f>'Test Cases'!N44</f>
        <v>0</v>
      </c>
      <c r="I44" s="11"/>
    </row>
    <row r="45" ht="19.5" customHeight="1" spans="1:9">
      <c r="A45" s="20" t="str">
        <f>'Test Cases'!A45</f>
        <v>TC_0044</v>
      </c>
      <c r="B45" s="20" t="str">
        <f>'Test Cases'!B45</f>
        <v>TS_002</v>
      </c>
      <c r="C45" s="20" t="str">
        <f>'Test Cases'!D45</f>
        <v>Login</v>
      </c>
      <c r="D45" s="20" t="str">
        <f>'Test Cases'!J45</f>
        <v>P0</v>
      </c>
      <c r="E45" s="20" t="str">
        <f>'Test Cases'!L45</f>
        <v>Pass</v>
      </c>
      <c r="F45" s="20">
        <f>'Test Cases'!O45</f>
        <v>0</v>
      </c>
      <c r="G45" s="20">
        <f>'Test Cases'!P45</f>
        <v>0</v>
      </c>
      <c r="H45" s="20">
        <f>'Test Cases'!N45</f>
        <v>0</v>
      </c>
      <c r="I45" s="11"/>
    </row>
    <row r="46" ht="19.5" customHeight="1" spans="1:9">
      <c r="A46" s="20" t="str">
        <f>'Test Cases'!A46</f>
        <v>TC_0045</v>
      </c>
      <c r="B46" s="20" t="str">
        <f>'Test Cases'!B46</f>
        <v>TS_002</v>
      </c>
      <c r="C46" s="20" t="str">
        <f>'Test Cases'!D46</f>
        <v>Login</v>
      </c>
      <c r="D46" s="20" t="str">
        <f>'Test Cases'!J46</f>
        <v>P0</v>
      </c>
      <c r="E46" s="20" t="str">
        <f>'Test Cases'!L46</f>
        <v>Pass</v>
      </c>
      <c r="F46" s="20">
        <f>'Test Cases'!O46</f>
        <v>0</v>
      </c>
      <c r="G46" s="20">
        <f>'Test Cases'!P46</f>
        <v>0</v>
      </c>
      <c r="H46" s="20">
        <f>'Test Cases'!N46</f>
        <v>0</v>
      </c>
      <c r="I46" s="11"/>
    </row>
    <row r="47" ht="19.5" customHeight="1" spans="1:9">
      <c r="A47" s="20" t="str">
        <f>'Test Cases'!A47</f>
        <v>TC_0046</v>
      </c>
      <c r="B47" s="20" t="str">
        <f>'Test Cases'!B47</f>
        <v>TS_002</v>
      </c>
      <c r="C47" s="20" t="str">
        <f>'Test Cases'!D47</f>
        <v>Login</v>
      </c>
      <c r="D47" s="20" t="str">
        <f>'Test Cases'!J47</f>
        <v>P0</v>
      </c>
      <c r="E47" s="20" t="str">
        <f>'Test Cases'!L47</f>
        <v>Pass</v>
      </c>
      <c r="F47" s="20">
        <f>'Test Cases'!O47</f>
        <v>0</v>
      </c>
      <c r="G47" s="20">
        <f>'Test Cases'!P47</f>
        <v>0</v>
      </c>
      <c r="H47" s="20">
        <f>'Test Cases'!N47</f>
        <v>0</v>
      </c>
      <c r="I47" s="11"/>
    </row>
    <row r="48" ht="19.5" customHeight="1" spans="1:9">
      <c r="A48" s="20" t="str">
        <f>'Test Cases'!A48</f>
        <v>TC_0047</v>
      </c>
      <c r="B48" s="20" t="str">
        <f>'Test Cases'!B48</f>
        <v>TS_002</v>
      </c>
      <c r="C48" s="20" t="str">
        <f>'Test Cases'!D48</f>
        <v>Login</v>
      </c>
      <c r="D48" s="20" t="str">
        <f>'Test Cases'!J48</f>
        <v>P0</v>
      </c>
      <c r="E48" s="20" t="str">
        <f>'Test Cases'!L48</f>
        <v>Pass</v>
      </c>
      <c r="F48" s="20">
        <f>'Test Cases'!O48</f>
        <v>0</v>
      </c>
      <c r="G48" s="20">
        <f>'Test Cases'!P48</f>
        <v>0</v>
      </c>
      <c r="H48" s="20">
        <f>'Test Cases'!N48</f>
        <v>0</v>
      </c>
      <c r="I48" s="11"/>
    </row>
    <row r="49" ht="19.5" customHeight="1" spans="1:9">
      <c r="A49" s="20" t="str">
        <f>'Test Cases'!A49</f>
        <v>TC_0048</v>
      </c>
      <c r="B49" s="20" t="str">
        <f>'Test Cases'!B49</f>
        <v>TS_002</v>
      </c>
      <c r="C49" s="20" t="str">
        <f>'Test Cases'!D49</f>
        <v>Login</v>
      </c>
      <c r="D49" s="20" t="str">
        <f>'Test Cases'!J49</f>
        <v>P0</v>
      </c>
      <c r="E49" s="20" t="str">
        <f>'Test Cases'!L49</f>
        <v>Pass</v>
      </c>
      <c r="F49" s="20">
        <f>'Test Cases'!O49</f>
        <v>0</v>
      </c>
      <c r="G49" s="20">
        <f>'Test Cases'!P49</f>
        <v>0</v>
      </c>
      <c r="H49" s="20">
        <f>'Test Cases'!N49</f>
        <v>0</v>
      </c>
      <c r="I49" s="11"/>
    </row>
    <row r="50" ht="19.5" customHeight="1" spans="1:9">
      <c r="A50" s="20" t="str">
        <f>'Test Cases'!A50</f>
        <v>TC_0049</v>
      </c>
      <c r="B50" s="20" t="str">
        <f>'Test Cases'!B50</f>
        <v>TS_002</v>
      </c>
      <c r="C50" s="20" t="str">
        <f>'Test Cases'!D50</f>
        <v>Login</v>
      </c>
      <c r="D50" s="20" t="str">
        <f>'Test Cases'!J50</f>
        <v>P0</v>
      </c>
      <c r="E50" s="20" t="str">
        <f>'Test Cases'!L50</f>
        <v>Pass</v>
      </c>
      <c r="F50" s="20">
        <f>'Test Cases'!O50</f>
        <v>0</v>
      </c>
      <c r="G50" s="20">
        <f>'Test Cases'!P50</f>
        <v>0</v>
      </c>
      <c r="H50" s="20">
        <f>'Test Cases'!N50</f>
        <v>0</v>
      </c>
      <c r="I50" s="11"/>
    </row>
    <row r="51" ht="19.5" customHeight="1" spans="1:9">
      <c r="A51" s="20" t="str">
        <f>'Test Cases'!A51</f>
        <v>TC_0050</v>
      </c>
      <c r="B51" s="20" t="str">
        <f>'Test Cases'!B51</f>
        <v>TS_002</v>
      </c>
      <c r="C51" s="20" t="str">
        <f>'Test Cases'!D51</f>
        <v>Login</v>
      </c>
      <c r="D51" s="20" t="str">
        <f>'Test Cases'!J51</f>
        <v>P0</v>
      </c>
      <c r="E51" s="20" t="str">
        <f>'Test Cases'!L51</f>
        <v>Pass</v>
      </c>
      <c r="F51" s="20">
        <f>'Test Cases'!O51</f>
        <v>0</v>
      </c>
      <c r="G51" s="20">
        <f>'Test Cases'!P51</f>
        <v>0</v>
      </c>
      <c r="H51" s="20">
        <f>'Test Cases'!N51</f>
        <v>0</v>
      </c>
      <c r="I51" s="11"/>
    </row>
    <row r="52" ht="19.5" customHeight="1" spans="1:9">
      <c r="A52" s="20" t="str">
        <f>'Test Cases'!A52</f>
        <v>TC_0051</v>
      </c>
      <c r="B52" s="20" t="str">
        <f>'Test Cases'!B52</f>
        <v>TS_003</v>
      </c>
      <c r="C52" s="20" t="str">
        <f>'Test Cases'!D52</f>
        <v>Logout</v>
      </c>
      <c r="D52" s="20" t="str">
        <f>'Test Cases'!J52</f>
        <v>P0</v>
      </c>
      <c r="E52" s="20" t="str">
        <f>'Test Cases'!L52</f>
        <v>Pass</v>
      </c>
      <c r="F52" s="20" t="str">
        <f>'Test Cases'!O52</f>
        <v>Youssef Adel</v>
      </c>
      <c r="G52" s="20" t="str">
        <f>'Test Cases'!P52</f>
        <v>2026-09-16</v>
      </c>
      <c r="H52" s="20">
        <f>'Test Cases'!N52</f>
        <v>0</v>
      </c>
      <c r="I52" s="11"/>
    </row>
    <row r="53" ht="19.5" customHeight="1" spans="1:9">
      <c r="A53" s="20" t="str">
        <f>'Test Cases'!A53</f>
        <v>TC_0052</v>
      </c>
      <c r="B53" s="20" t="str">
        <f>'Test Cases'!B53</f>
        <v>TS_003</v>
      </c>
      <c r="C53" s="20" t="str">
        <f>'Test Cases'!D53</f>
        <v>Logout</v>
      </c>
      <c r="D53" s="20" t="str">
        <f>'Test Cases'!J53</f>
        <v>P0</v>
      </c>
      <c r="E53" s="20" t="str">
        <f>'Test Cases'!L53</f>
        <v>Pass</v>
      </c>
      <c r="F53" s="20">
        <f>'Test Cases'!O53</f>
        <v>0</v>
      </c>
      <c r="G53" s="20">
        <f>'Test Cases'!P53</f>
        <v>0</v>
      </c>
      <c r="H53" s="20">
        <f>'Test Cases'!N53</f>
        <v>0</v>
      </c>
      <c r="I53" s="11"/>
    </row>
    <row r="54" ht="19.5" customHeight="1" spans="1:9">
      <c r="A54" s="20" t="str">
        <f>'Test Cases'!A54</f>
        <v>TC_0053</v>
      </c>
      <c r="B54" s="20" t="str">
        <f>'Test Cases'!B54</f>
        <v>TS_003</v>
      </c>
      <c r="C54" s="20" t="str">
        <f>'Test Cases'!D54</f>
        <v>Logout</v>
      </c>
      <c r="D54" s="20" t="str">
        <f>'Test Cases'!J54</f>
        <v>P0</v>
      </c>
      <c r="E54" s="20" t="str">
        <f>'Test Cases'!L54</f>
        <v>Pass</v>
      </c>
      <c r="F54" s="20">
        <f>'Test Cases'!O54</f>
        <v>0</v>
      </c>
      <c r="G54" s="20">
        <f>'Test Cases'!P54</f>
        <v>0</v>
      </c>
      <c r="H54" s="20">
        <f>'Test Cases'!N54</f>
        <v>0</v>
      </c>
      <c r="I54" s="11"/>
    </row>
    <row r="55" ht="19.5" customHeight="1" spans="1:9">
      <c r="A55" s="20" t="str">
        <f>'Test Cases'!A55</f>
        <v>TC_0054</v>
      </c>
      <c r="B55" s="20" t="str">
        <f>'Test Cases'!B55</f>
        <v>TS_003</v>
      </c>
      <c r="C55" s="20" t="str">
        <f>'Test Cases'!D55</f>
        <v>Logout</v>
      </c>
      <c r="D55" s="20" t="str">
        <f>'Test Cases'!J55</f>
        <v>P0</v>
      </c>
      <c r="E55" s="20" t="str">
        <f>'Test Cases'!L55</f>
        <v>Pass</v>
      </c>
      <c r="F55" s="20">
        <f>'Test Cases'!O55</f>
        <v>0</v>
      </c>
      <c r="G55" s="20">
        <f>'Test Cases'!P55</f>
        <v>0</v>
      </c>
      <c r="H55" s="20">
        <f>'Test Cases'!N55</f>
        <v>0</v>
      </c>
      <c r="I55" s="11"/>
    </row>
    <row r="56" ht="19.5" customHeight="1" spans="1:9">
      <c r="A56" s="20" t="str">
        <f>'Test Cases'!A56</f>
        <v>TC_0055</v>
      </c>
      <c r="B56" s="20" t="str">
        <f>'Test Cases'!B56</f>
        <v>TS_003</v>
      </c>
      <c r="C56" s="20" t="str">
        <f>'Test Cases'!D56</f>
        <v>Logout</v>
      </c>
      <c r="D56" s="20" t="str">
        <f>'Test Cases'!J56</f>
        <v>P0</v>
      </c>
      <c r="E56" s="20" t="str">
        <f>'Test Cases'!L56</f>
        <v>Pass</v>
      </c>
      <c r="F56" s="20">
        <f>'Test Cases'!O56</f>
        <v>0</v>
      </c>
      <c r="G56" s="20">
        <f>'Test Cases'!P56</f>
        <v>0</v>
      </c>
      <c r="H56" s="20">
        <f>'Test Cases'!N56</f>
        <v>0</v>
      </c>
      <c r="I56" s="11"/>
    </row>
    <row r="57" ht="19.5" customHeight="1" spans="1:9">
      <c r="A57" s="20" t="str">
        <f>'Test Cases'!A57</f>
        <v>TC_0056</v>
      </c>
      <c r="B57" s="20" t="str">
        <f>'Test Cases'!B57</f>
        <v>TS_003</v>
      </c>
      <c r="C57" s="20" t="str">
        <f>'Test Cases'!D57</f>
        <v>Logout</v>
      </c>
      <c r="D57" s="20" t="str">
        <f>'Test Cases'!J57</f>
        <v>P0</v>
      </c>
      <c r="E57" s="20" t="str">
        <f>'Test Cases'!L57</f>
        <v>Pass</v>
      </c>
      <c r="F57" s="20">
        <f>'Test Cases'!O57</f>
        <v>0</v>
      </c>
      <c r="G57" s="20">
        <f>'Test Cases'!P57</f>
        <v>0</v>
      </c>
      <c r="H57" s="20">
        <f>'Test Cases'!N57</f>
        <v>0</v>
      </c>
      <c r="I57" s="11"/>
    </row>
    <row r="58" ht="19.5" customHeight="1" spans="1:9">
      <c r="A58" s="20" t="str">
        <f>'Test Cases'!A58</f>
        <v>TC_0057</v>
      </c>
      <c r="B58" s="20" t="str">
        <f>'Test Cases'!B58</f>
        <v>TS_003</v>
      </c>
      <c r="C58" s="20" t="str">
        <f>'Test Cases'!D58</f>
        <v>Logout</v>
      </c>
      <c r="D58" s="20" t="str">
        <f>'Test Cases'!J58</f>
        <v>P0</v>
      </c>
      <c r="E58" s="20" t="str">
        <f>'Test Cases'!L58</f>
        <v>Pass</v>
      </c>
      <c r="F58" s="20">
        <f>'Test Cases'!O58</f>
        <v>0</v>
      </c>
      <c r="G58" s="20">
        <f>'Test Cases'!P58</f>
        <v>0</v>
      </c>
      <c r="H58" s="20">
        <f>'Test Cases'!N58</f>
        <v>0</v>
      </c>
      <c r="I58" s="11"/>
    </row>
    <row r="59" ht="19.5" customHeight="1" spans="1:9">
      <c r="A59" s="20" t="str">
        <f>'Test Cases'!A59</f>
        <v>TC_0058</v>
      </c>
      <c r="B59" s="20" t="str">
        <f>'Test Cases'!B59</f>
        <v>TS_003</v>
      </c>
      <c r="C59" s="20" t="str">
        <f>'Test Cases'!D59</f>
        <v>Logout</v>
      </c>
      <c r="D59" s="20" t="str">
        <f>'Test Cases'!J59</f>
        <v>P0</v>
      </c>
      <c r="E59" s="20" t="str">
        <f>'Test Cases'!L59</f>
        <v>Blocked</v>
      </c>
      <c r="F59" s="20" t="str">
        <f>'Test Cases'!O59</f>
        <v>Ali Hassan</v>
      </c>
      <c r="G59" s="20" t="str">
        <f>'Test Cases'!P59</f>
        <v>2026-09-17</v>
      </c>
      <c r="H59" s="20">
        <f>'Test Cases'!N59</f>
        <v>0</v>
      </c>
      <c r="I59" s="11"/>
    </row>
    <row r="60" ht="19.5" customHeight="1" spans="1:9">
      <c r="A60" s="20" t="str">
        <f>'Test Cases'!A60</f>
        <v>TC_0059</v>
      </c>
      <c r="B60" s="20" t="str">
        <f>'Test Cases'!B60</f>
        <v>TS_003</v>
      </c>
      <c r="C60" s="20" t="str">
        <f>'Test Cases'!D60</f>
        <v>Logout</v>
      </c>
      <c r="D60" s="20" t="str">
        <f>'Test Cases'!J60</f>
        <v>P0</v>
      </c>
      <c r="E60" s="20" t="str">
        <f>'Test Cases'!L60</f>
        <v>Pass</v>
      </c>
      <c r="F60" s="20">
        <f>'Test Cases'!O60</f>
        <v>0</v>
      </c>
      <c r="G60" s="20">
        <f>'Test Cases'!P60</f>
        <v>0</v>
      </c>
      <c r="H60" s="20">
        <f>'Test Cases'!N60</f>
        <v>0</v>
      </c>
      <c r="I60" s="11"/>
    </row>
    <row r="61" ht="19.5" customHeight="1" spans="1:9">
      <c r="A61" s="20" t="str">
        <f>'Test Cases'!A61</f>
        <v>TC_0060</v>
      </c>
      <c r="B61" s="20" t="str">
        <f>'Test Cases'!B61</f>
        <v>TS_003</v>
      </c>
      <c r="C61" s="20" t="str">
        <f>'Test Cases'!D61</f>
        <v>Logout</v>
      </c>
      <c r="D61" s="20" t="str">
        <f>'Test Cases'!J61</f>
        <v>P0</v>
      </c>
      <c r="E61" s="20" t="str">
        <f>'Test Cases'!L61</f>
        <v>Pass</v>
      </c>
      <c r="F61" s="20">
        <f>'Test Cases'!O61</f>
        <v>0</v>
      </c>
      <c r="G61" s="20">
        <f>'Test Cases'!P61</f>
        <v>0</v>
      </c>
      <c r="H61" s="20">
        <f>'Test Cases'!N61</f>
        <v>0</v>
      </c>
      <c r="I61" s="11"/>
    </row>
    <row r="62" ht="19.5" customHeight="1" spans="1:9">
      <c r="A62" s="20" t="str">
        <f>'Test Cases'!A62</f>
        <v>TC_0061</v>
      </c>
      <c r="B62" s="20" t="str">
        <f>'Test Cases'!B62</f>
        <v>TS_003</v>
      </c>
      <c r="C62" s="20" t="str">
        <f>'Test Cases'!D62</f>
        <v>Logout</v>
      </c>
      <c r="D62" s="20" t="str">
        <f>'Test Cases'!J62</f>
        <v>P0</v>
      </c>
      <c r="E62" s="20" t="str">
        <f>'Test Cases'!L62</f>
        <v>Pass</v>
      </c>
      <c r="F62" s="20">
        <f>'Test Cases'!O62</f>
        <v>0</v>
      </c>
      <c r="G62" s="20">
        <f>'Test Cases'!P62</f>
        <v>0</v>
      </c>
      <c r="H62" s="20">
        <f>'Test Cases'!N62</f>
        <v>0</v>
      </c>
      <c r="I62" s="11"/>
    </row>
    <row r="63" ht="19.5" customHeight="1" spans="1:9">
      <c r="A63" s="20" t="str">
        <f>'Test Cases'!A63</f>
        <v>TC_0062</v>
      </c>
      <c r="B63" s="20" t="str">
        <f>'Test Cases'!B63</f>
        <v>TS_004</v>
      </c>
      <c r="C63" s="20" t="str">
        <f>'Test Cases'!D63</f>
        <v>Forgot Password</v>
      </c>
      <c r="D63" s="20" t="str">
        <f>'Test Cases'!J63</f>
        <v>P2</v>
      </c>
      <c r="E63" s="20" t="str">
        <f>'Test Cases'!L63</f>
        <v>Not Run</v>
      </c>
      <c r="F63" s="20">
        <f>'Test Cases'!O63</f>
        <v>0</v>
      </c>
      <c r="G63" s="20">
        <f>'Test Cases'!P63</f>
        <v>0</v>
      </c>
      <c r="H63" s="20">
        <f>'Test Cases'!N63</f>
        <v>0</v>
      </c>
      <c r="I63" s="11"/>
    </row>
    <row r="64" ht="19.5" customHeight="1" spans="1:9">
      <c r="A64" s="20" t="str">
        <f>'Test Cases'!A64</f>
        <v>TC_0063</v>
      </c>
      <c r="B64" s="20" t="str">
        <f>'Test Cases'!B64</f>
        <v>TS_004</v>
      </c>
      <c r="C64" s="20" t="str">
        <f>'Test Cases'!D64</f>
        <v>Forgot Password</v>
      </c>
      <c r="D64" s="20" t="str">
        <f>'Test Cases'!J64</f>
        <v>P2</v>
      </c>
      <c r="E64" s="20" t="str">
        <f>'Test Cases'!L64</f>
        <v>Not Run</v>
      </c>
      <c r="F64" s="20">
        <f>'Test Cases'!O64</f>
        <v>0</v>
      </c>
      <c r="G64" s="20">
        <f>'Test Cases'!P64</f>
        <v>0</v>
      </c>
      <c r="H64" s="20">
        <f>'Test Cases'!N64</f>
        <v>0</v>
      </c>
      <c r="I64" s="11"/>
    </row>
    <row r="65" ht="19.5" customHeight="1" spans="1:9">
      <c r="A65" s="20" t="str">
        <f>'Test Cases'!A65</f>
        <v>TC_0064</v>
      </c>
      <c r="B65" s="20" t="str">
        <f>'Test Cases'!B65</f>
        <v>TS_004</v>
      </c>
      <c r="C65" s="20" t="str">
        <f>'Test Cases'!D65</f>
        <v>Forgot Password</v>
      </c>
      <c r="D65" s="20" t="str">
        <f>'Test Cases'!J65</f>
        <v>P2</v>
      </c>
      <c r="E65" s="20" t="str">
        <f>'Test Cases'!L65</f>
        <v>Not Run</v>
      </c>
      <c r="F65" s="20">
        <f>'Test Cases'!O65</f>
        <v>0</v>
      </c>
      <c r="G65" s="20">
        <f>'Test Cases'!P65</f>
        <v>0</v>
      </c>
      <c r="H65" s="20">
        <f>'Test Cases'!N65</f>
        <v>0</v>
      </c>
      <c r="I65" s="11"/>
    </row>
    <row r="66" ht="19.5" customHeight="1" spans="1:9">
      <c r="A66" s="20" t="str">
        <f>'Test Cases'!A66</f>
        <v>TC_0065</v>
      </c>
      <c r="B66" s="20" t="str">
        <f>'Test Cases'!B66</f>
        <v>TS_004</v>
      </c>
      <c r="C66" s="20" t="str">
        <f>'Test Cases'!D66</f>
        <v>Forgot Password</v>
      </c>
      <c r="D66" s="20" t="str">
        <f>'Test Cases'!J66</f>
        <v>P2</v>
      </c>
      <c r="E66" s="20" t="str">
        <f>'Test Cases'!L66</f>
        <v>Not Run</v>
      </c>
      <c r="F66" s="20">
        <f>'Test Cases'!O66</f>
        <v>0</v>
      </c>
      <c r="G66" s="20">
        <f>'Test Cases'!P66</f>
        <v>0</v>
      </c>
      <c r="H66" s="20">
        <f>'Test Cases'!N66</f>
        <v>0</v>
      </c>
      <c r="I66" s="11"/>
    </row>
    <row r="67" ht="19.5" customHeight="1" spans="1:9">
      <c r="A67" s="20" t="str">
        <f>'Test Cases'!A67</f>
        <v>TC_0066</v>
      </c>
      <c r="B67" s="20" t="str">
        <f>'Test Cases'!B67</f>
        <v>TS_004</v>
      </c>
      <c r="C67" s="20" t="str">
        <f>'Test Cases'!D67</f>
        <v>Forgot Password</v>
      </c>
      <c r="D67" s="20" t="str">
        <f>'Test Cases'!J67</f>
        <v>P2</v>
      </c>
      <c r="E67" s="20" t="str">
        <f>'Test Cases'!L67</f>
        <v>Not Run</v>
      </c>
      <c r="F67" s="20">
        <f>'Test Cases'!O67</f>
        <v>0</v>
      </c>
      <c r="G67" s="20">
        <f>'Test Cases'!P67</f>
        <v>0</v>
      </c>
      <c r="H67" s="20">
        <f>'Test Cases'!N67</f>
        <v>0</v>
      </c>
      <c r="I67" s="11"/>
    </row>
    <row r="68" ht="19.5" customHeight="1" spans="1:9">
      <c r="A68" s="20" t="str">
        <f>'Test Cases'!A68</f>
        <v>TC_0067</v>
      </c>
      <c r="B68" s="20" t="str">
        <f>'Test Cases'!B68</f>
        <v>TS_004</v>
      </c>
      <c r="C68" s="20" t="str">
        <f>'Test Cases'!D68</f>
        <v>Forgot Password</v>
      </c>
      <c r="D68" s="20" t="str">
        <f>'Test Cases'!J68</f>
        <v>P2</v>
      </c>
      <c r="E68" s="20" t="str">
        <f>'Test Cases'!L68</f>
        <v>Not Run</v>
      </c>
      <c r="F68" s="20">
        <f>'Test Cases'!O68</f>
        <v>0</v>
      </c>
      <c r="G68" s="20">
        <f>'Test Cases'!P68</f>
        <v>0</v>
      </c>
      <c r="H68" s="20">
        <f>'Test Cases'!N68</f>
        <v>0</v>
      </c>
      <c r="I68" s="11"/>
    </row>
    <row r="69" ht="19.5" customHeight="1" spans="1:9">
      <c r="A69" s="20" t="str">
        <f>'Test Cases'!A69</f>
        <v>TC_0068</v>
      </c>
      <c r="B69" s="20" t="str">
        <f>'Test Cases'!B69</f>
        <v>TS_004</v>
      </c>
      <c r="C69" s="20" t="str">
        <f>'Test Cases'!D69</f>
        <v>Forgot Password</v>
      </c>
      <c r="D69" s="20" t="str">
        <f>'Test Cases'!J69</f>
        <v>P2</v>
      </c>
      <c r="E69" s="20" t="str">
        <f>'Test Cases'!L69</f>
        <v>Not Run</v>
      </c>
      <c r="F69" s="20">
        <f>'Test Cases'!O69</f>
        <v>0</v>
      </c>
      <c r="G69" s="20">
        <f>'Test Cases'!P69</f>
        <v>0</v>
      </c>
      <c r="H69" s="20">
        <f>'Test Cases'!N69</f>
        <v>0</v>
      </c>
      <c r="I69" s="11"/>
    </row>
    <row r="70" ht="19.5" customHeight="1" spans="1:9">
      <c r="A70" s="20" t="str">
        <f>'Test Cases'!A70</f>
        <v>TC_0069</v>
      </c>
      <c r="B70" s="20" t="str">
        <f>'Test Cases'!B70</f>
        <v>TS_004</v>
      </c>
      <c r="C70" s="20" t="str">
        <f>'Test Cases'!D70</f>
        <v>Forgot Password</v>
      </c>
      <c r="D70" s="20" t="str">
        <f>'Test Cases'!J70</f>
        <v>P2</v>
      </c>
      <c r="E70" s="20" t="str">
        <f>'Test Cases'!L70</f>
        <v>Not Run</v>
      </c>
      <c r="F70" s="20">
        <f>'Test Cases'!O70</f>
        <v>0</v>
      </c>
      <c r="G70" s="20">
        <f>'Test Cases'!P70</f>
        <v>0</v>
      </c>
      <c r="H70" s="20">
        <f>'Test Cases'!N70</f>
        <v>0</v>
      </c>
      <c r="I70" s="11"/>
    </row>
    <row r="71" ht="19.5" customHeight="1" spans="1:9">
      <c r="A71" s="20" t="str">
        <f>'Test Cases'!A71</f>
        <v>TC_0070</v>
      </c>
      <c r="B71" s="20" t="str">
        <f>'Test Cases'!B71</f>
        <v>TS_004</v>
      </c>
      <c r="C71" s="20" t="str">
        <f>'Test Cases'!D71</f>
        <v>Forgot Password</v>
      </c>
      <c r="D71" s="20" t="str">
        <f>'Test Cases'!J71</f>
        <v>P2</v>
      </c>
      <c r="E71" s="20" t="str">
        <f>'Test Cases'!L71</f>
        <v>Not Run</v>
      </c>
      <c r="F71" s="20">
        <f>'Test Cases'!O71</f>
        <v>0</v>
      </c>
      <c r="G71" s="20">
        <f>'Test Cases'!P71</f>
        <v>0</v>
      </c>
      <c r="H71" s="20">
        <f>'Test Cases'!N71</f>
        <v>0</v>
      </c>
      <c r="I71" s="11"/>
    </row>
    <row r="72" ht="19.5" customHeight="1" spans="1:9">
      <c r="A72" s="20" t="str">
        <f>'Test Cases'!A72</f>
        <v>TC_0071</v>
      </c>
      <c r="B72" s="20" t="str">
        <f>'Test Cases'!B72</f>
        <v>TS_004</v>
      </c>
      <c r="C72" s="20" t="str">
        <f>'Test Cases'!D72</f>
        <v>Forgot Password</v>
      </c>
      <c r="D72" s="20" t="str">
        <f>'Test Cases'!J72</f>
        <v>P2</v>
      </c>
      <c r="E72" s="20" t="str">
        <f>'Test Cases'!L72</f>
        <v>Not Run</v>
      </c>
      <c r="F72" s="20">
        <f>'Test Cases'!O72</f>
        <v>0</v>
      </c>
      <c r="G72" s="20">
        <f>'Test Cases'!P72</f>
        <v>0</v>
      </c>
      <c r="H72" s="20">
        <f>'Test Cases'!N72</f>
        <v>0</v>
      </c>
      <c r="I72" s="11"/>
    </row>
    <row r="73" ht="19.5" customHeight="1" spans="1:9">
      <c r="A73" s="20" t="str">
        <f>'Test Cases'!A73</f>
        <v>TC_0072</v>
      </c>
      <c r="B73" s="20" t="str">
        <f>'Test Cases'!B73</f>
        <v>TS_004</v>
      </c>
      <c r="C73" s="20" t="str">
        <f>'Test Cases'!D73</f>
        <v>Forgot Password</v>
      </c>
      <c r="D73" s="20" t="str">
        <f>'Test Cases'!J73</f>
        <v>P2</v>
      </c>
      <c r="E73" s="20" t="str">
        <f>'Test Cases'!L73</f>
        <v>Not Run</v>
      </c>
      <c r="F73" s="20">
        <f>'Test Cases'!O73</f>
        <v>0</v>
      </c>
      <c r="G73" s="20">
        <f>'Test Cases'!P73</f>
        <v>0</v>
      </c>
      <c r="H73" s="20">
        <f>'Test Cases'!N73</f>
        <v>0</v>
      </c>
      <c r="I73" s="11"/>
    </row>
    <row r="74" ht="19.5" customHeight="1" spans="1:9">
      <c r="A74" s="20" t="str">
        <f>'Test Cases'!A74</f>
        <v>TC_0073</v>
      </c>
      <c r="B74" s="20" t="str">
        <f>'Test Cases'!B74</f>
        <v>TS_004</v>
      </c>
      <c r="C74" s="20" t="str">
        <f>'Test Cases'!D74</f>
        <v>Forgot Password</v>
      </c>
      <c r="D74" s="20" t="str">
        <f>'Test Cases'!J74</f>
        <v>P2</v>
      </c>
      <c r="E74" s="20" t="str">
        <f>'Test Cases'!L74</f>
        <v>Not Run</v>
      </c>
      <c r="F74" s="20">
        <f>'Test Cases'!O74</f>
        <v>0</v>
      </c>
      <c r="G74" s="20">
        <f>'Test Cases'!P74</f>
        <v>0</v>
      </c>
      <c r="H74" s="20">
        <f>'Test Cases'!N74</f>
        <v>0</v>
      </c>
      <c r="I74" s="11"/>
    </row>
    <row r="75" ht="19.5" customHeight="1" spans="1:9">
      <c r="A75" s="20" t="str">
        <f>'Test Cases'!A75</f>
        <v>TC_0074</v>
      </c>
      <c r="B75" s="20" t="str">
        <f>'Test Cases'!B75</f>
        <v>TS_004</v>
      </c>
      <c r="C75" s="20" t="str">
        <f>'Test Cases'!D75</f>
        <v>Forgot Password</v>
      </c>
      <c r="D75" s="20" t="str">
        <f>'Test Cases'!J75</f>
        <v>P2</v>
      </c>
      <c r="E75" s="20" t="str">
        <f>'Test Cases'!L75</f>
        <v>Not Run</v>
      </c>
      <c r="F75" s="20">
        <f>'Test Cases'!O75</f>
        <v>0</v>
      </c>
      <c r="G75" s="20">
        <f>'Test Cases'!P75</f>
        <v>0</v>
      </c>
      <c r="H75" s="20">
        <f>'Test Cases'!N75</f>
        <v>0</v>
      </c>
      <c r="I75" s="11"/>
    </row>
    <row r="76" ht="19.5" customHeight="1" spans="1:9">
      <c r="A76" s="20" t="str">
        <f>'Test Cases'!A76</f>
        <v>TC_0075</v>
      </c>
      <c r="B76" s="20" t="str">
        <f>'Test Cases'!B76</f>
        <v>TS_004</v>
      </c>
      <c r="C76" s="20" t="str">
        <f>'Test Cases'!D76</f>
        <v>Forgot Password</v>
      </c>
      <c r="D76" s="20" t="str">
        <f>'Test Cases'!J76</f>
        <v>P2</v>
      </c>
      <c r="E76" s="20" t="str">
        <f>'Test Cases'!L76</f>
        <v>Not Run</v>
      </c>
      <c r="F76" s="20">
        <f>'Test Cases'!O76</f>
        <v>0</v>
      </c>
      <c r="G76" s="20">
        <f>'Test Cases'!P76</f>
        <v>0</v>
      </c>
      <c r="H76" s="20">
        <f>'Test Cases'!N76</f>
        <v>0</v>
      </c>
      <c r="I76" s="11"/>
    </row>
    <row r="77" ht="19.5" customHeight="1" spans="1:9">
      <c r="A77" s="20" t="str">
        <f>'Test Cases'!A77</f>
        <v>TC_0076</v>
      </c>
      <c r="B77" s="20" t="str">
        <f>'Test Cases'!B77</f>
        <v>TS_004</v>
      </c>
      <c r="C77" s="20" t="str">
        <f>'Test Cases'!D77</f>
        <v>Forgot Password</v>
      </c>
      <c r="D77" s="20" t="str">
        <f>'Test Cases'!J77</f>
        <v>P2</v>
      </c>
      <c r="E77" s="20" t="str">
        <f>'Test Cases'!L77</f>
        <v>Pass</v>
      </c>
      <c r="F77" s="20" t="str">
        <f>'Test Cases'!O77</f>
        <v>Ali Hassan</v>
      </c>
      <c r="G77" s="20" t="str">
        <f>'Test Cases'!P77</f>
        <v>2026-09-17</v>
      </c>
      <c r="H77" s="20">
        <f>'Test Cases'!N77</f>
        <v>0</v>
      </c>
      <c r="I77" s="11"/>
    </row>
    <row r="78" ht="19.5" customHeight="1" spans="1:9">
      <c r="A78" s="20" t="str">
        <f>'Test Cases'!A78</f>
        <v>TC_0077</v>
      </c>
      <c r="B78" s="20" t="str">
        <f>'Test Cases'!B78</f>
        <v>TS_004</v>
      </c>
      <c r="C78" s="20" t="str">
        <f>'Test Cases'!D78</f>
        <v>Forgot Password</v>
      </c>
      <c r="D78" s="20" t="str">
        <f>'Test Cases'!J78</f>
        <v>P2</v>
      </c>
      <c r="E78" s="20" t="str">
        <f>'Test Cases'!L78</f>
        <v>Not Run</v>
      </c>
      <c r="F78" s="20">
        <f>'Test Cases'!O78</f>
        <v>0</v>
      </c>
      <c r="G78" s="20">
        <f>'Test Cases'!P78</f>
        <v>0</v>
      </c>
      <c r="H78" s="20">
        <f>'Test Cases'!N78</f>
        <v>0</v>
      </c>
      <c r="I78" s="11"/>
    </row>
    <row r="79" ht="19.5" customHeight="1" spans="1:9">
      <c r="A79" s="20" t="str">
        <f>'Test Cases'!A79</f>
        <v>TC_0078</v>
      </c>
      <c r="B79" s="20" t="str">
        <f>'Test Cases'!B79</f>
        <v>TS_004</v>
      </c>
      <c r="C79" s="20" t="str">
        <f>'Test Cases'!D79</f>
        <v>Forgot Password</v>
      </c>
      <c r="D79" s="20" t="str">
        <f>'Test Cases'!J79</f>
        <v>P2</v>
      </c>
      <c r="E79" s="20" t="str">
        <f>'Test Cases'!L79</f>
        <v>Not Run</v>
      </c>
      <c r="F79" s="20">
        <f>'Test Cases'!O79</f>
        <v>0</v>
      </c>
      <c r="G79" s="20">
        <f>'Test Cases'!P79</f>
        <v>0</v>
      </c>
      <c r="H79" s="20">
        <f>'Test Cases'!N79</f>
        <v>0</v>
      </c>
      <c r="I79" s="11"/>
    </row>
    <row r="80" ht="19.5" customHeight="1" spans="1:9">
      <c r="A80" s="20" t="str">
        <f>'Test Cases'!A80</f>
        <v>TC_0079</v>
      </c>
      <c r="B80" s="20" t="str">
        <f>'Test Cases'!B80</f>
        <v>TS_004</v>
      </c>
      <c r="C80" s="20" t="str">
        <f>'Test Cases'!D80</f>
        <v>Forgot Password</v>
      </c>
      <c r="D80" s="20" t="str">
        <f>'Test Cases'!J80</f>
        <v>P2</v>
      </c>
      <c r="E80" s="20" t="str">
        <f>'Test Cases'!L80</f>
        <v>Not Run</v>
      </c>
      <c r="F80" s="20">
        <f>'Test Cases'!O80</f>
        <v>0</v>
      </c>
      <c r="G80" s="20">
        <f>'Test Cases'!P80</f>
        <v>0</v>
      </c>
      <c r="H80" s="20">
        <f>'Test Cases'!N80</f>
        <v>0</v>
      </c>
      <c r="I80" s="11"/>
    </row>
    <row r="81" ht="19.5" customHeight="1" spans="1:9">
      <c r="A81" s="20" t="str">
        <f>'Test Cases'!A81</f>
        <v>TC_0080</v>
      </c>
      <c r="B81" s="20" t="str">
        <f>'Test Cases'!B81</f>
        <v>TS_004</v>
      </c>
      <c r="C81" s="20" t="str">
        <f>'Test Cases'!D81</f>
        <v>Forgot Password</v>
      </c>
      <c r="D81" s="20" t="str">
        <f>'Test Cases'!J81</f>
        <v>P2</v>
      </c>
      <c r="E81" s="20" t="str">
        <f>'Test Cases'!L81</f>
        <v>Not Run</v>
      </c>
      <c r="F81" s="20">
        <f>'Test Cases'!O81</f>
        <v>0</v>
      </c>
      <c r="G81" s="20">
        <f>'Test Cases'!P81</f>
        <v>0</v>
      </c>
      <c r="H81" s="20">
        <f>'Test Cases'!N81</f>
        <v>0</v>
      </c>
      <c r="I81" s="11"/>
    </row>
    <row r="82" ht="19.5" customHeight="1" spans="1:9">
      <c r="A82" s="20" t="str">
        <f>'Test Cases'!A82</f>
        <v>TC_0081</v>
      </c>
      <c r="B82" s="20" t="str">
        <f>'Test Cases'!B82</f>
        <v>TS_004</v>
      </c>
      <c r="C82" s="20" t="str">
        <f>'Test Cases'!D82</f>
        <v>Forgot Password</v>
      </c>
      <c r="D82" s="20" t="str">
        <f>'Test Cases'!J82</f>
        <v>P2</v>
      </c>
      <c r="E82" s="20" t="str">
        <f>'Test Cases'!L82</f>
        <v>Not Run</v>
      </c>
      <c r="F82" s="20">
        <f>'Test Cases'!O82</f>
        <v>0</v>
      </c>
      <c r="G82" s="20">
        <f>'Test Cases'!P82</f>
        <v>0</v>
      </c>
      <c r="H82" s="20">
        <f>'Test Cases'!N82</f>
        <v>0</v>
      </c>
      <c r="I82" s="11"/>
    </row>
    <row r="83" ht="19.5" customHeight="1" spans="1:9">
      <c r="A83" s="20" t="str">
        <f>'Test Cases'!A83</f>
        <v>TC_0082</v>
      </c>
      <c r="B83" s="20" t="str">
        <f>'Test Cases'!B83</f>
        <v>TS_004</v>
      </c>
      <c r="C83" s="20" t="str">
        <f>'Test Cases'!D83</f>
        <v>Forgot Password</v>
      </c>
      <c r="D83" s="20" t="str">
        <f>'Test Cases'!J83</f>
        <v>P2</v>
      </c>
      <c r="E83" s="20" t="str">
        <f>'Test Cases'!L83</f>
        <v>Not Run</v>
      </c>
      <c r="F83" s="20">
        <f>'Test Cases'!O83</f>
        <v>0</v>
      </c>
      <c r="G83" s="20">
        <f>'Test Cases'!P83</f>
        <v>0</v>
      </c>
      <c r="H83" s="20">
        <f>'Test Cases'!N83</f>
        <v>0</v>
      </c>
      <c r="I83" s="11"/>
    </row>
    <row r="84" ht="19.5" customHeight="1" spans="1:9">
      <c r="A84" s="20" t="str">
        <f>'Test Cases'!A84</f>
        <v>TC_0083</v>
      </c>
      <c r="B84" s="20" t="str">
        <f>'Test Cases'!B84</f>
        <v>TS_004</v>
      </c>
      <c r="C84" s="20" t="str">
        <f>'Test Cases'!D84</f>
        <v>Forgot Password</v>
      </c>
      <c r="D84" s="20" t="str">
        <f>'Test Cases'!J84</f>
        <v>P2</v>
      </c>
      <c r="E84" s="20" t="str">
        <f>'Test Cases'!L84</f>
        <v>Not Run</v>
      </c>
      <c r="F84" s="20">
        <f>'Test Cases'!O84</f>
        <v>0</v>
      </c>
      <c r="G84" s="20">
        <f>'Test Cases'!P84</f>
        <v>0</v>
      </c>
      <c r="H84" s="20">
        <f>'Test Cases'!N84</f>
        <v>0</v>
      </c>
      <c r="I84" s="11"/>
    </row>
    <row r="85" ht="19.5" customHeight="1" spans="1:9">
      <c r="A85" s="20" t="str">
        <f>'Test Cases'!A85</f>
        <v>TC_0084</v>
      </c>
      <c r="B85" s="20" t="str">
        <f>'Test Cases'!B85</f>
        <v>TS_004</v>
      </c>
      <c r="C85" s="20" t="str">
        <f>'Test Cases'!D85</f>
        <v>Forgot Password</v>
      </c>
      <c r="D85" s="20" t="str">
        <f>'Test Cases'!J85</f>
        <v>P2</v>
      </c>
      <c r="E85" s="20" t="str">
        <f>'Test Cases'!L85</f>
        <v>Pass</v>
      </c>
      <c r="F85" s="20" t="str">
        <f>'Test Cases'!O85</f>
        <v>Mona Fathy</v>
      </c>
      <c r="G85" s="20" t="str">
        <f>'Test Cases'!P85</f>
        <v>2026-09-17</v>
      </c>
      <c r="H85" s="20">
        <f>'Test Cases'!N85</f>
        <v>0</v>
      </c>
      <c r="I85" s="11"/>
    </row>
    <row r="86" ht="19.5" customHeight="1" spans="1:9">
      <c r="A86" s="20" t="str">
        <f>'Test Cases'!A86</f>
        <v>TC_0085</v>
      </c>
      <c r="B86" s="20" t="str">
        <f>'Test Cases'!B86</f>
        <v>TS_004</v>
      </c>
      <c r="C86" s="20" t="str">
        <f>'Test Cases'!D86</f>
        <v>Forgot Password</v>
      </c>
      <c r="D86" s="20" t="str">
        <f>'Test Cases'!J86</f>
        <v>P2</v>
      </c>
      <c r="E86" s="20" t="str">
        <f>'Test Cases'!L86</f>
        <v>Not Run</v>
      </c>
      <c r="F86" s="20">
        <f>'Test Cases'!O86</f>
        <v>0</v>
      </c>
      <c r="G86" s="20">
        <f>'Test Cases'!P86</f>
        <v>0</v>
      </c>
      <c r="H86" s="20">
        <f>'Test Cases'!N86</f>
        <v>0</v>
      </c>
      <c r="I86" s="11"/>
    </row>
    <row r="87" ht="19.5" customHeight="1" spans="1:9">
      <c r="A87" s="20" t="str">
        <f>'Test Cases'!A87</f>
        <v>TC_0086</v>
      </c>
      <c r="B87" s="20" t="str">
        <f>'Test Cases'!B87</f>
        <v>TS_004</v>
      </c>
      <c r="C87" s="20" t="str">
        <f>'Test Cases'!D87</f>
        <v>Forgot Password</v>
      </c>
      <c r="D87" s="20" t="str">
        <f>'Test Cases'!J87</f>
        <v>P2</v>
      </c>
      <c r="E87" s="20" t="str">
        <f>'Test Cases'!L87</f>
        <v>Not Run</v>
      </c>
      <c r="F87" s="20">
        <f>'Test Cases'!O87</f>
        <v>0</v>
      </c>
      <c r="G87" s="20">
        <f>'Test Cases'!P87</f>
        <v>0</v>
      </c>
      <c r="H87" s="20">
        <f>'Test Cases'!N87</f>
        <v>0</v>
      </c>
      <c r="I87" s="11"/>
    </row>
    <row r="88" ht="19.5" customHeight="1" spans="1:9">
      <c r="A88" s="20" t="str">
        <f>'Test Cases'!A88</f>
        <v>TC_0087</v>
      </c>
      <c r="B88" s="20" t="str">
        <f>'Test Cases'!B88</f>
        <v>TS_005</v>
      </c>
      <c r="C88" s="20" t="str">
        <f>'Test Cases'!D88</f>
        <v>Search</v>
      </c>
      <c r="D88" s="20" t="str">
        <f>'Test Cases'!J88</f>
        <v>P1</v>
      </c>
      <c r="E88" s="20" t="str">
        <f>'Test Cases'!L88</f>
        <v>Not Run</v>
      </c>
      <c r="F88" s="20">
        <f>'Test Cases'!O88</f>
        <v>0</v>
      </c>
      <c r="G88" s="20">
        <f>'Test Cases'!P88</f>
        <v>0</v>
      </c>
      <c r="H88" s="20">
        <f>'Test Cases'!N88</f>
        <v>0</v>
      </c>
      <c r="I88" s="11"/>
    </row>
    <row r="89" ht="19.5" customHeight="1" spans="1:9">
      <c r="A89" s="20" t="str">
        <f>'Test Cases'!A89</f>
        <v>TC_0088</v>
      </c>
      <c r="B89" s="20" t="str">
        <f>'Test Cases'!B89</f>
        <v>TS_005</v>
      </c>
      <c r="C89" s="20" t="str">
        <f>'Test Cases'!D89</f>
        <v>Search</v>
      </c>
      <c r="D89" s="20" t="str">
        <f>'Test Cases'!J89</f>
        <v>P1</v>
      </c>
      <c r="E89" s="20" t="str">
        <f>'Test Cases'!L89</f>
        <v>Not Run</v>
      </c>
      <c r="F89" s="20">
        <f>'Test Cases'!O89</f>
        <v>0</v>
      </c>
      <c r="G89" s="20">
        <f>'Test Cases'!P89</f>
        <v>0</v>
      </c>
      <c r="H89" s="20">
        <f>'Test Cases'!N89</f>
        <v>0</v>
      </c>
      <c r="I89" s="11"/>
    </row>
    <row r="90" ht="19.5" customHeight="1" spans="1:9">
      <c r="A90" s="20" t="str">
        <f>'Test Cases'!A90</f>
        <v>TC_0089</v>
      </c>
      <c r="B90" s="20" t="str">
        <f>'Test Cases'!B90</f>
        <v>TS_005</v>
      </c>
      <c r="C90" s="20" t="str">
        <f>'Test Cases'!D90</f>
        <v>Search</v>
      </c>
      <c r="D90" s="20" t="str">
        <f>'Test Cases'!J90</f>
        <v>P1</v>
      </c>
      <c r="E90" s="20" t="str">
        <f>'Test Cases'!L90</f>
        <v>Not Run</v>
      </c>
      <c r="F90" s="20">
        <f>'Test Cases'!O90</f>
        <v>0</v>
      </c>
      <c r="G90" s="20">
        <f>'Test Cases'!P90</f>
        <v>0</v>
      </c>
      <c r="H90" s="20">
        <f>'Test Cases'!N90</f>
        <v>0</v>
      </c>
      <c r="I90" s="11"/>
    </row>
    <row r="91" ht="19.5" customHeight="1" spans="1:9">
      <c r="A91" s="20" t="str">
        <f>'Test Cases'!A91</f>
        <v>TC_0090</v>
      </c>
      <c r="B91" s="20" t="str">
        <f>'Test Cases'!B91</f>
        <v>TS_005</v>
      </c>
      <c r="C91" s="20" t="str">
        <f>'Test Cases'!D91</f>
        <v>Search</v>
      </c>
      <c r="D91" s="20" t="str">
        <f>'Test Cases'!J91</f>
        <v>P1</v>
      </c>
      <c r="E91" s="20" t="str">
        <f>'Test Cases'!L91</f>
        <v>Pass</v>
      </c>
      <c r="F91" s="20" t="str">
        <f>'Test Cases'!O91</f>
        <v>Ali Hassan</v>
      </c>
      <c r="G91" s="20" t="str">
        <f>'Test Cases'!P91</f>
        <v>2026-09-17</v>
      </c>
      <c r="H91" s="20">
        <f>'Test Cases'!N91</f>
        <v>0</v>
      </c>
      <c r="I91" s="11"/>
    </row>
    <row r="92" ht="19.5" customHeight="1" spans="1:9">
      <c r="A92" s="20" t="str">
        <f>'Test Cases'!A92</f>
        <v>TC_0091</v>
      </c>
      <c r="B92" s="20" t="str">
        <f>'Test Cases'!B92</f>
        <v>TS_005</v>
      </c>
      <c r="C92" s="20" t="str">
        <f>'Test Cases'!D92</f>
        <v>Search</v>
      </c>
      <c r="D92" s="20" t="str">
        <f>'Test Cases'!J92</f>
        <v>P1</v>
      </c>
      <c r="E92" s="20" t="str">
        <f>'Test Cases'!L92</f>
        <v>Not Run</v>
      </c>
      <c r="F92" s="20">
        <f>'Test Cases'!O92</f>
        <v>0</v>
      </c>
      <c r="G92" s="20">
        <f>'Test Cases'!P92</f>
        <v>0</v>
      </c>
      <c r="H92" s="20">
        <f>'Test Cases'!N92</f>
        <v>0</v>
      </c>
      <c r="I92" s="11"/>
    </row>
    <row r="93" ht="19.5" customHeight="1" spans="1:9">
      <c r="A93" s="20" t="str">
        <f>'Test Cases'!A93</f>
        <v>TC_0092</v>
      </c>
      <c r="B93" s="20" t="str">
        <f>'Test Cases'!B93</f>
        <v>TS_005</v>
      </c>
      <c r="C93" s="20" t="str">
        <f>'Test Cases'!D93</f>
        <v>Search</v>
      </c>
      <c r="D93" s="20" t="str">
        <f>'Test Cases'!J93</f>
        <v>P1</v>
      </c>
      <c r="E93" s="20" t="str">
        <f>'Test Cases'!L93</f>
        <v>Not Run</v>
      </c>
      <c r="F93" s="20">
        <f>'Test Cases'!O93</f>
        <v>0</v>
      </c>
      <c r="G93" s="20">
        <f>'Test Cases'!P93</f>
        <v>0</v>
      </c>
      <c r="H93" s="20">
        <f>'Test Cases'!N93</f>
        <v>0</v>
      </c>
      <c r="I93" s="11"/>
    </row>
    <row r="94" ht="19.5" customHeight="1" spans="1:9">
      <c r="A94" s="20" t="str">
        <f>'Test Cases'!A94</f>
        <v>TC_0093</v>
      </c>
      <c r="B94" s="20" t="str">
        <f>'Test Cases'!B94</f>
        <v>TS_005</v>
      </c>
      <c r="C94" s="20" t="str">
        <f>'Test Cases'!D94</f>
        <v>Search</v>
      </c>
      <c r="D94" s="20" t="str">
        <f>'Test Cases'!J94</f>
        <v>P1</v>
      </c>
      <c r="E94" s="20" t="str">
        <f>'Test Cases'!L94</f>
        <v>Not Run</v>
      </c>
      <c r="F94" s="20">
        <f>'Test Cases'!O94</f>
        <v>0</v>
      </c>
      <c r="G94" s="20">
        <f>'Test Cases'!P94</f>
        <v>0</v>
      </c>
      <c r="H94" s="20">
        <f>'Test Cases'!N94</f>
        <v>0</v>
      </c>
      <c r="I94" s="11"/>
    </row>
    <row r="95" ht="19.5" customHeight="1" spans="1:9">
      <c r="A95" s="20" t="str">
        <f>'Test Cases'!A95</f>
        <v>TC_0094</v>
      </c>
      <c r="B95" s="20" t="str">
        <f>'Test Cases'!B95</f>
        <v>TS_005</v>
      </c>
      <c r="C95" s="20" t="str">
        <f>'Test Cases'!D95</f>
        <v>Search</v>
      </c>
      <c r="D95" s="20" t="str">
        <f>'Test Cases'!J95</f>
        <v>P1</v>
      </c>
      <c r="E95" s="20" t="str">
        <f>'Test Cases'!L95</f>
        <v>Not Run</v>
      </c>
      <c r="F95" s="20">
        <f>'Test Cases'!O95</f>
        <v>0</v>
      </c>
      <c r="G95" s="20">
        <f>'Test Cases'!P95</f>
        <v>0</v>
      </c>
      <c r="H95" s="20">
        <f>'Test Cases'!N95</f>
        <v>0</v>
      </c>
      <c r="I95" s="11"/>
    </row>
    <row r="96" ht="19.5" customHeight="1" spans="1:9">
      <c r="A96" s="20" t="str">
        <f>'Test Cases'!A96</f>
        <v>TC_0095</v>
      </c>
      <c r="B96" s="20" t="str">
        <f>'Test Cases'!B96</f>
        <v>TS_005</v>
      </c>
      <c r="C96" s="20" t="str">
        <f>'Test Cases'!D96</f>
        <v>Search</v>
      </c>
      <c r="D96" s="20" t="str">
        <f>'Test Cases'!J96</f>
        <v>P1</v>
      </c>
      <c r="E96" s="20" t="str">
        <f>'Test Cases'!L96</f>
        <v>Not Run</v>
      </c>
      <c r="F96" s="20">
        <f>'Test Cases'!O96</f>
        <v>0</v>
      </c>
      <c r="G96" s="20">
        <f>'Test Cases'!P96</f>
        <v>0</v>
      </c>
      <c r="H96" s="20">
        <f>'Test Cases'!N96</f>
        <v>0</v>
      </c>
      <c r="I96" s="11"/>
    </row>
    <row r="97" ht="19.5" customHeight="1" spans="1:9">
      <c r="A97" s="20" t="str">
        <f>'Test Cases'!A97</f>
        <v>TC_0096</v>
      </c>
      <c r="B97" s="20" t="str">
        <f>'Test Cases'!B97</f>
        <v>TS_005</v>
      </c>
      <c r="C97" s="20" t="str">
        <f>'Test Cases'!D97</f>
        <v>Search</v>
      </c>
      <c r="D97" s="20" t="str">
        <f>'Test Cases'!J97</f>
        <v>P1</v>
      </c>
      <c r="E97" s="20" t="str">
        <f>'Test Cases'!L97</f>
        <v>Not Run</v>
      </c>
      <c r="F97" s="20">
        <f>'Test Cases'!O97</f>
        <v>0</v>
      </c>
      <c r="G97" s="20">
        <f>'Test Cases'!P97</f>
        <v>0</v>
      </c>
      <c r="H97" s="20">
        <f>'Test Cases'!N97</f>
        <v>0</v>
      </c>
      <c r="I97" s="11"/>
    </row>
    <row r="98" ht="19.5" customHeight="1" spans="1:9">
      <c r="A98" s="20" t="str">
        <f>'Test Cases'!A98</f>
        <v>TC_0097</v>
      </c>
      <c r="B98" s="20" t="str">
        <f>'Test Cases'!B98</f>
        <v>TS_005</v>
      </c>
      <c r="C98" s="20" t="str">
        <f>'Test Cases'!D98</f>
        <v>Search</v>
      </c>
      <c r="D98" s="20" t="str">
        <f>'Test Cases'!J98</f>
        <v>P1</v>
      </c>
      <c r="E98" s="20" t="str">
        <f>'Test Cases'!L98</f>
        <v>Not Run</v>
      </c>
      <c r="F98" s="20">
        <f>'Test Cases'!O98</f>
        <v>0</v>
      </c>
      <c r="G98" s="20">
        <f>'Test Cases'!P98</f>
        <v>0</v>
      </c>
      <c r="H98" s="20">
        <f>'Test Cases'!N98</f>
        <v>0</v>
      </c>
      <c r="I98" s="11"/>
    </row>
    <row r="99" ht="19.5" customHeight="1" spans="1:9">
      <c r="A99" s="20" t="str">
        <f>'Test Cases'!A99</f>
        <v>TC_0098</v>
      </c>
      <c r="B99" s="20" t="str">
        <f>'Test Cases'!B99</f>
        <v>TS_005</v>
      </c>
      <c r="C99" s="20" t="str">
        <f>'Test Cases'!D99</f>
        <v>Search</v>
      </c>
      <c r="D99" s="20" t="str">
        <f>'Test Cases'!J99</f>
        <v>P1</v>
      </c>
      <c r="E99" s="20" t="str">
        <f>'Test Cases'!L99</f>
        <v>Not Run</v>
      </c>
      <c r="F99" s="20">
        <f>'Test Cases'!O99</f>
        <v>0</v>
      </c>
      <c r="G99" s="20">
        <f>'Test Cases'!P99</f>
        <v>0</v>
      </c>
      <c r="H99" s="20">
        <f>'Test Cases'!N99</f>
        <v>0</v>
      </c>
      <c r="I99" s="11"/>
    </row>
    <row r="100" ht="19.5" customHeight="1" spans="1:9">
      <c r="A100" s="20" t="str">
        <f>'Test Cases'!A100</f>
        <v>TC_0099</v>
      </c>
      <c r="B100" s="20" t="str">
        <f>'Test Cases'!B100</f>
        <v>TS_005</v>
      </c>
      <c r="C100" s="20" t="str">
        <f>'Test Cases'!D100</f>
        <v>Search</v>
      </c>
      <c r="D100" s="20" t="str">
        <f>'Test Cases'!J100</f>
        <v>P1</v>
      </c>
      <c r="E100" s="20" t="str">
        <f>'Test Cases'!L100</f>
        <v>Not Run</v>
      </c>
      <c r="F100" s="20">
        <f>'Test Cases'!O100</f>
        <v>0</v>
      </c>
      <c r="G100" s="20">
        <f>'Test Cases'!P100</f>
        <v>0</v>
      </c>
      <c r="H100" s="20">
        <f>'Test Cases'!N100</f>
        <v>0</v>
      </c>
      <c r="I100" s="11"/>
    </row>
    <row r="101" ht="19.5" customHeight="1" spans="1:9">
      <c r="A101" s="20" t="str">
        <f>'Test Cases'!A101</f>
        <v>TC_0100</v>
      </c>
      <c r="B101" s="20" t="str">
        <f>'Test Cases'!B101</f>
        <v>TS_005</v>
      </c>
      <c r="C101" s="20" t="str">
        <f>'Test Cases'!D101</f>
        <v>Search</v>
      </c>
      <c r="D101" s="20" t="str">
        <f>'Test Cases'!J101</f>
        <v>P1</v>
      </c>
      <c r="E101" s="20" t="str">
        <f>'Test Cases'!L101</f>
        <v>Fail</v>
      </c>
      <c r="F101" s="20" t="str">
        <f>'Test Cases'!O101</f>
        <v>Mona Fathy</v>
      </c>
      <c r="G101" s="20" t="str">
        <f>'Test Cases'!P101</f>
        <v>2026-09-17</v>
      </c>
      <c r="H101" s="20" t="str">
        <f>'Test Cases'!N101</f>
        <v>BUG_003</v>
      </c>
      <c r="I101" s="11"/>
    </row>
    <row r="102" ht="19.5" customHeight="1" spans="1:9">
      <c r="A102" s="20" t="str">
        <f>'Test Cases'!A102</f>
        <v>TC_0101</v>
      </c>
      <c r="B102" s="20" t="str">
        <f>'Test Cases'!B102</f>
        <v>TS_005</v>
      </c>
      <c r="C102" s="20" t="str">
        <f>'Test Cases'!D102</f>
        <v>Search</v>
      </c>
      <c r="D102" s="20" t="str">
        <f>'Test Cases'!J102</f>
        <v>P1</v>
      </c>
      <c r="E102" s="20" t="str">
        <f>'Test Cases'!L102</f>
        <v>Not Run</v>
      </c>
      <c r="F102" s="20">
        <f>'Test Cases'!O102</f>
        <v>0</v>
      </c>
      <c r="G102" s="20">
        <f>'Test Cases'!P102</f>
        <v>0</v>
      </c>
      <c r="H102" s="20">
        <f>'Test Cases'!N102</f>
        <v>0</v>
      </c>
      <c r="I102" s="11"/>
    </row>
    <row r="103" ht="19.5" customHeight="1" spans="1:9">
      <c r="A103" s="20" t="str">
        <f>'Test Cases'!A103</f>
        <v>TC_0102</v>
      </c>
      <c r="B103" s="20" t="str">
        <f>'Test Cases'!B103</f>
        <v>TS_005</v>
      </c>
      <c r="C103" s="20" t="str">
        <f>'Test Cases'!D103</f>
        <v>Search</v>
      </c>
      <c r="D103" s="20" t="str">
        <f>'Test Cases'!J103</f>
        <v>P1</v>
      </c>
      <c r="E103" s="20" t="str">
        <f>'Test Cases'!L103</f>
        <v>Not Run</v>
      </c>
      <c r="F103" s="20">
        <f>'Test Cases'!O103</f>
        <v>0</v>
      </c>
      <c r="G103" s="20">
        <f>'Test Cases'!P103</f>
        <v>0</v>
      </c>
      <c r="H103" s="20">
        <f>'Test Cases'!N103</f>
        <v>0</v>
      </c>
      <c r="I103" s="11"/>
    </row>
    <row r="104" ht="19.5" customHeight="1" spans="1:9">
      <c r="A104" s="20" t="str">
        <f>'Test Cases'!A104</f>
        <v>TC_0103</v>
      </c>
      <c r="B104" s="20" t="str">
        <f>'Test Cases'!B104</f>
        <v>TS_005</v>
      </c>
      <c r="C104" s="20" t="str">
        <f>'Test Cases'!D104</f>
        <v>Search</v>
      </c>
      <c r="D104" s="20" t="str">
        <f>'Test Cases'!J104</f>
        <v>P1</v>
      </c>
      <c r="E104" s="20" t="str">
        <f>'Test Cases'!L104</f>
        <v>Not Run</v>
      </c>
      <c r="F104" s="20">
        <f>'Test Cases'!O104</f>
        <v>0</v>
      </c>
      <c r="G104" s="20">
        <f>'Test Cases'!P104</f>
        <v>0</v>
      </c>
      <c r="H104" s="20">
        <f>'Test Cases'!N104</f>
        <v>0</v>
      </c>
      <c r="I104" s="11"/>
    </row>
    <row r="105" ht="19.5" customHeight="1" spans="1:9">
      <c r="A105" s="20" t="str">
        <f>'Test Cases'!A105</f>
        <v>TC_0104</v>
      </c>
      <c r="B105" s="20" t="str">
        <f>'Test Cases'!B105</f>
        <v>TS_005</v>
      </c>
      <c r="C105" s="20" t="str">
        <f>'Test Cases'!D105</f>
        <v>Search</v>
      </c>
      <c r="D105" s="20" t="str">
        <f>'Test Cases'!J105</f>
        <v>P1</v>
      </c>
      <c r="E105" s="20" t="str">
        <f>'Test Cases'!L105</f>
        <v>Not Run</v>
      </c>
      <c r="F105" s="20">
        <f>'Test Cases'!O105</f>
        <v>0</v>
      </c>
      <c r="G105" s="20">
        <f>'Test Cases'!P105</f>
        <v>0</v>
      </c>
      <c r="H105" s="20">
        <f>'Test Cases'!N105</f>
        <v>0</v>
      </c>
      <c r="I105" s="11"/>
    </row>
    <row r="106" ht="19.5" customHeight="1" spans="1:9">
      <c r="A106" s="20" t="str">
        <f>'Test Cases'!A106</f>
        <v>TC_0105</v>
      </c>
      <c r="B106" s="20" t="str">
        <f>'Test Cases'!B106</f>
        <v>TS_005</v>
      </c>
      <c r="C106" s="20" t="str">
        <f>'Test Cases'!D106</f>
        <v>Search</v>
      </c>
      <c r="D106" s="20" t="str">
        <f>'Test Cases'!J106</f>
        <v>P1</v>
      </c>
      <c r="E106" s="20" t="str">
        <f>'Test Cases'!L106</f>
        <v>Not Run</v>
      </c>
      <c r="F106" s="20">
        <f>'Test Cases'!O106</f>
        <v>0</v>
      </c>
      <c r="G106" s="20">
        <f>'Test Cases'!P106</f>
        <v>0</v>
      </c>
      <c r="H106" s="20">
        <f>'Test Cases'!N106</f>
        <v>0</v>
      </c>
      <c r="I106" s="11"/>
    </row>
    <row r="107" ht="19.5" customHeight="1" spans="1:9">
      <c r="A107" s="20" t="str">
        <f>'Test Cases'!A107</f>
        <v>TC_0106</v>
      </c>
      <c r="B107" s="20" t="str">
        <f>'Test Cases'!B107</f>
        <v>TS_005</v>
      </c>
      <c r="C107" s="20" t="str">
        <f>'Test Cases'!D107</f>
        <v>Search</v>
      </c>
      <c r="D107" s="20" t="str">
        <f>'Test Cases'!J107</f>
        <v>P1</v>
      </c>
      <c r="E107" s="20" t="str">
        <f>'Test Cases'!L107</f>
        <v>Not Run</v>
      </c>
      <c r="F107" s="20">
        <f>'Test Cases'!O107</f>
        <v>0</v>
      </c>
      <c r="G107" s="20">
        <f>'Test Cases'!P107</f>
        <v>0</v>
      </c>
      <c r="H107" s="20">
        <f>'Test Cases'!N107</f>
        <v>0</v>
      </c>
      <c r="I107" s="11"/>
    </row>
    <row r="108" ht="19.5" customHeight="1" spans="1:9">
      <c r="A108" s="20" t="str">
        <f>'Test Cases'!A108</f>
        <v>TC_0107</v>
      </c>
      <c r="B108" s="20" t="str">
        <f>'Test Cases'!B108</f>
        <v>TS_005</v>
      </c>
      <c r="C108" s="20" t="str">
        <f>'Test Cases'!D108</f>
        <v>Search</v>
      </c>
      <c r="D108" s="20" t="str">
        <f>'Test Cases'!J108</f>
        <v>P1</v>
      </c>
      <c r="E108" s="20" t="str">
        <f>'Test Cases'!L108</f>
        <v>Not Run</v>
      </c>
      <c r="F108" s="20">
        <f>'Test Cases'!O108</f>
        <v>0</v>
      </c>
      <c r="G108" s="20">
        <f>'Test Cases'!P108</f>
        <v>0</v>
      </c>
      <c r="H108" s="20">
        <f>'Test Cases'!N108</f>
        <v>0</v>
      </c>
      <c r="I108" s="11"/>
    </row>
    <row r="109" ht="19.5" customHeight="1" spans="1:9">
      <c r="A109" s="20" t="str">
        <f>'Test Cases'!A109</f>
        <v>TC_0108</v>
      </c>
      <c r="B109" s="20" t="str">
        <f>'Test Cases'!B109</f>
        <v>TS_005</v>
      </c>
      <c r="C109" s="20" t="str">
        <f>'Test Cases'!D109</f>
        <v>Search</v>
      </c>
      <c r="D109" s="20" t="str">
        <f>'Test Cases'!J109</f>
        <v>P1</v>
      </c>
      <c r="E109" s="20" t="str">
        <f>'Test Cases'!L109</f>
        <v>Not Run</v>
      </c>
      <c r="F109" s="20">
        <f>'Test Cases'!O109</f>
        <v>0</v>
      </c>
      <c r="G109" s="20">
        <f>'Test Cases'!P109</f>
        <v>0</v>
      </c>
      <c r="H109" s="20">
        <f>'Test Cases'!N109</f>
        <v>0</v>
      </c>
      <c r="I109" s="11"/>
    </row>
    <row r="110" ht="19.5" customHeight="1" spans="1:9">
      <c r="A110" s="20" t="str">
        <f>'Test Cases'!A110</f>
        <v>TC_0109</v>
      </c>
      <c r="B110" s="20" t="str">
        <f>'Test Cases'!B110</f>
        <v>TS_006</v>
      </c>
      <c r="C110" s="20" t="str">
        <f>'Test Cases'!D110</f>
        <v>Product Compare</v>
      </c>
      <c r="D110" s="20" t="str">
        <f>'Test Cases'!J110</f>
        <v>P4</v>
      </c>
      <c r="E110" s="20" t="str">
        <f>'Test Cases'!L110</f>
        <v>Not Run</v>
      </c>
      <c r="F110" s="20">
        <f>'Test Cases'!O110</f>
        <v>0</v>
      </c>
      <c r="G110" s="20">
        <f>'Test Cases'!P110</f>
        <v>0</v>
      </c>
      <c r="H110" s="20">
        <f>'Test Cases'!N110</f>
        <v>0</v>
      </c>
      <c r="I110" s="11"/>
    </row>
    <row r="111" ht="19.5" customHeight="1" spans="1:9">
      <c r="A111" s="20" t="str">
        <f>'Test Cases'!A111</f>
        <v>TC_0110</v>
      </c>
      <c r="B111" s="20" t="str">
        <f>'Test Cases'!B111</f>
        <v>TS_006</v>
      </c>
      <c r="C111" s="20" t="str">
        <f>'Test Cases'!D111</f>
        <v>Product Compare</v>
      </c>
      <c r="D111" s="20" t="str">
        <f>'Test Cases'!J111</f>
        <v>P4</v>
      </c>
      <c r="E111" s="20" t="str">
        <f>'Test Cases'!L111</f>
        <v>Not Run</v>
      </c>
      <c r="F111" s="20">
        <f>'Test Cases'!O111</f>
        <v>0</v>
      </c>
      <c r="G111" s="20">
        <f>'Test Cases'!P111</f>
        <v>0</v>
      </c>
      <c r="H111" s="20">
        <f>'Test Cases'!N111</f>
        <v>0</v>
      </c>
      <c r="I111" s="11"/>
    </row>
    <row r="112" ht="19.5" customHeight="1" spans="1:9">
      <c r="A112" s="20" t="str">
        <f>'Test Cases'!A112</f>
        <v>TC_0111</v>
      </c>
      <c r="B112" s="20" t="str">
        <f>'Test Cases'!B112</f>
        <v>TS_006</v>
      </c>
      <c r="C112" s="20" t="str">
        <f>'Test Cases'!D112</f>
        <v>Product Compare</v>
      </c>
      <c r="D112" s="20" t="str">
        <f>'Test Cases'!J112</f>
        <v>P4</v>
      </c>
      <c r="E112" s="20" t="str">
        <f>'Test Cases'!L112</f>
        <v>Not Run</v>
      </c>
      <c r="F112" s="20">
        <f>'Test Cases'!O112</f>
        <v>0</v>
      </c>
      <c r="G112" s="20">
        <f>'Test Cases'!P112</f>
        <v>0</v>
      </c>
      <c r="H112" s="20">
        <f>'Test Cases'!N112</f>
        <v>0</v>
      </c>
      <c r="I112" s="11"/>
    </row>
    <row r="113" ht="19.5" customHeight="1" spans="1:9">
      <c r="A113" s="20" t="str">
        <f>'Test Cases'!A113</f>
        <v>TC_0112</v>
      </c>
      <c r="B113" s="20" t="str">
        <f>'Test Cases'!B113</f>
        <v>TS_006</v>
      </c>
      <c r="C113" s="20" t="str">
        <f>'Test Cases'!D113</f>
        <v>Product Compare</v>
      </c>
      <c r="D113" s="20" t="str">
        <f>'Test Cases'!J113</f>
        <v>P4</v>
      </c>
      <c r="E113" s="20" t="str">
        <f>'Test Cases'!L113</f>
        <v>Not Run</v>
      </c>
      <c r="F113" s="20">
        <f>'Test Cases'!O113</f>
        <v>0</v>
      </c>
      <c r="G113" s="20">
        <f>'Test Cases'!P113</f>
        <v>0</v>
      </c>
      <c r="H113" s="20">
        <f>'Test Cases'!N113</f>
        <v>0</v>
      </c>
      <c r="I113" s="11"/>
    </row>
    <row r="114" ht="19.5" customHeight="1" spans="1:9">
      <c r="A114" s="20" t="str">
        <f>'Test Cases'!A114</f>
        <v>TC_0113</v>
      </c>
      <c r="B114" s="20" t="str">
        <f>'Test Cases'!B114</f>
        <v>TS_006</v>
      </c>
      <c r="C114" s="20" t="str">
        <f>'Test Cases'!D114</f>
        <v>Product Compare</v>
      </c>
      <c r="D114" s="20" t="str">
        <f>'Test Cases'!J114</f>
        <v>P4</v>
      </c>
      <c r="E114" s="20" t="str">
        <f>'Test Cases'!L114</f>
        <v>Not Run</v>
      </c>
      <c r="F114" s="20">
        <f>'Test Cases'!O114</f>
        <v>0</v>
      </c>
      <c r="G114" s="20">
        <f>'Test Cases'!P114</f>
        <v>0</v>
      </c>
      <c r="H114" s="20">
        <f>'Test Cases'!N114</f>
        <v>0</v>
      </c>
      <c r="I114" s="11"/>
    </row>
    <row r="115" ht="19.5" customHeight="1" spans="1:9">
      <c r="A115" s="20" t="str">
        <f>'Test Cases'!A115</f>
        <v>TC_0114</v>
      </c>
      <c r="B115" s="20" t="str">
        <f>'Test Cases'!B115</f>
        <v>TS_006</v>
      </c>
      <c r="C115" s="20" t="str">
        <f>'Test Cases'!D115</f>
        <v>Product Compare</v>
      </c>
      <c r="D115" s="20" t="str">
        <f>'Test Cases'!J115</f>
        <v>P4</v>
      </c>
      <c r="E115" s="20" t="str">
        <f>'Test Cases'!L115</f>
        <v>Not Run</v>
      </c>
      <c r="F115" s="20">
        <f>'Test Cases'!O115</f>
        <v>0</v>
      </c>
      <c r="G115" s="20">
        <f>'Test Cases'!P115</f>
        <v>0</v>
      </c>
      <c r="H115" s="20">
        <f>'Test Cases'!N115</f>
        <v>0</v>
      </c>
      <c r="I115" s="11"/>
    </row>
    <row r="116" ht="19.5" customHeight="1" spans="1:9">
      <c r="A116" s="20" t="str">
        <f>'Test Cases'!A116</f>
        <v>TC_0115</v>
      </c>
      <c r="B116" s="20" t="str">
        <f>'Test Cases'!B116</f>
        <v>TS_006</v>
      </c>
      <c r="C116" s="20" t="str">
        <f>'Test Cases'!D116</f>
        <v>Product Compare</v>
      </c>
      <c r="D116" s="20" t="str">
        <f>'Test Cases'!J116</f>
        <v>P4</v>
      </c>
      <c r="E116" s="20" t="str">
        <f>'Test Cases'!L116</f>
        <v>Not Run</v>
      </c>
      <c r="F116" s="20">
        <f>'Test Cases'!O116</f>
        <v>0</v>
      </c>
      <c r="G116" s="20">
        <f>'Test Cases'!P116</f>
        <v>0</v>
      </c>
      <c r="H116" s="20">
        <f>'Test Cases'!N116</f>
        <v>0</v>
      </c>
      <c r="I116" s="11"/>
    </row>
    <row r="117" ht="19.5" customHeight="1" spans="1:9">
      <c r="A117" s="20" t="str">
        <f>'Test Cases'!A117</f>
        <v>TC_0116</v>
      </c>
      <c r="B117" s="20" t="str">
        <f>'Test Cases'!B117</f>
        <v>TS_006</v>
      </c>
      <c r="C117" s="20" t="str">
        <f>'Test Cases'!D117</f>
        <v>Product Compare</v>
      </c>
      <c r="D117" s="20" t="str">
        <f>'Test Cases'!J117</f>
        <v>P4</v>
      </c>
      <c r="E117" s="20" t="str">
        <f>'Test Cases'!L117</f>
        <v>Not Run</v>
      </c>
      <c r="F117" s="20">
        <f>'Test Cases'!O117</f>
        <v>0</v>
      </c>
      <c r="G117" s="20">
        <f>'Test Cases'!P117</f>
        <v>0</v>
      </c>
      <c r="H117" s="20">
        <f>'Test Cases'!N117</f>
        <v>0</v>
      </c>
      <c r="I117" s="11"/>
    </row>
    <row r="118" ht="19.5" customHeight="1" spans="1:9">
      <c r="A118" s="20" t="str">
        <f>'Test Cases'!A118</f>
        <v>TC_0117</v>
      </c>
      <c r="B118" s="20" t="str">
        <f>'Test Cases'!B118</f>
        <v>TS_006</v>
      </c>
      <c r="C118" s="20" t="str">
        <f>'Test Cases'!D118</f>
        <v>Product Compare</v>
      </c>
      <c r="D118" s="20" t="str">
        <f>'Test Cases'!J118</f>
        <v>P4</v>
      </c>
      <c r="E118" s="20" t="str">
        <f>'Test Cases'!L118</f>
        <v>Not Run</v>
      </c>
      <c r="F118" s="20">
        <f>'Test Cases'!O118</f>
        <v>0</v>
      </c>
      <c r="G118" s="20">
        <f>'Test Cases'!P118</f>
        <v>0</v>
      </c>
      <c r="H118" s="20">
        <f>'Test Cases'!N118</f>
        <v>0</v>
      </c>
      <c r="I118" s="11"/>
    </row>
    <row r="119" ht="19.5" customHeight="1" spans="1:9">
      <c r="A119" s="20" t="str">
        <f>'Test Cases'!A119</f>
        <v>TC_0118</v>
      </c>
      <c r="B119" s="20" t="str">
        <f>'Test Cases'!B119</f>
        <v>TS_006</v>
      </c>
      <c r="C119" s="20" t="str">
        <f>'Test Cases'!D119</f>
        <v>Product Compare</v>
      </c>
      <c r="D119" s="20" t="str">
        <f>'Test Cases'!J119</f>
        <v>P4</v>
      </c>
      <c r="E119" s="20" t="str">
        <f>'Test Cases'!L119</f>
        <v>Not Run</v>
      </c>
      <c r="F119" s="20">
        <f>'Test Cases'!O119</f>
        <v>0</v>
      </c>
      <c r="G119" s="20">
        <f>'Test Cases'!P119</f>
        <v>0</v>
      </c>
      <c r="H119" s="20">
        <f>'Test Cases'!N119</f>
        <v>0</v>
      </c>
      <c r="I119" s="11"/>
    </row>
    <row r="120" ht="19.5" customHeight="1" spans="1:9">
      <c r="A120" s="20" t="str">
        <f>'Test Cases'!A120</f>
        <v>TC_0119</v>
      </c>
      <c r="B120" s="20" t="str">
        <f>'Test Cases'!B120</f>
        <v>TS_006</v>
      </c>
      <c r="C120" s="20" t="str">
        <f>'Test Cases'!D120</f>
        <v>Product Compare</v>
      </c>
      <c r="D120" s="20" t="str">
        <f>'Test Cases'!J120</f>
        <v>P4</v>
      </c>
      <c r="E120" s="20" t="str">
        <f>'Test Cases'!L120</f>
        <v>Not Run</v>
      </c>
      <c r="F120" s="20">
        <f>'Test Cases'!O120</f>
        <v>0</v>
      </c>
      <c r="G120" s="20">
        <f>'Test Cases'!P120</f>
        <v>0</v>
      </c>
      <c r="H120" s="20">
        <f>'Test Cases'!N120</f>
        <v>0</v>
      </c>
      <c r="I120" s="11"/>
    </row>
    <row r="121" ht="19.5" customHeight="1" spans="1:9">
      <c r="A121" s="20" t="str">
        <f>'Test Cases'!A121</f>
        <v>TC_0120</v>
      </c>
      <c r="B121" s="20" t="str">
        <f>'Test Cases'!B121</f>
        <v>TS_006</v>
      </c>
      <c r="C121" s="20" t="str">
        <f>'Test Cases'!D121</f>
        <v>Product Compare</v>
      </c>
      <c r="D121" s="20" t="str">
        <f>'Test Cases'!J121</f>
        <v>P4</v>
      </c>
      <c r="E121" s="20" t="str">
        <f>'Test Cases'!L121</f>
        <v>Not Run</v>
      </c>
      <c r="F121" s="20">
        <f>'Test Cases'!O121</f>
        <v>0</v>
      </c>
      <c r="G121" s="20">
        <f>'Test Cases'!P121</f>
        <v>0</v>
      </c>
      <c r="H121" s="20">
        <f>'Test Cases'!N121</f>
        <v>0</v>
      </c>
      <c r="I121" s="11"/>
    </row>
    <row r="122" ht="19.5" customHeight="1" spans="1:9">
      <c r="A122" s="20" t="str">
        <f>'Test Cases'!A122</f>
        <v>TC_0121</v>
      </c>
      <c r="B122" s="20" t="str">
        <f>'Test Cases'!B122</f>
        <v>TS_006</v>
      </c>
      <c r="C122" s="20" t="str">
        <f>'Test Cases'!D122</f>
        <v>Product Compare</v>
      </c>
      <c r="D122" s="20" t="str">
        <f>'Test Cases'!J122</f>
        <v>P4</v>
      </c>
      <c r="E122" s="20" t="str">
        <f>'Test Cases'!L122</f>
        <v>Not Run</v>
      </c>
      <c r="F122" s="20">
        <f>'Test Cases'!O122</f>
        <v>0</v>
      </c>
      <c r="G122" s="20">
        <f>'Test Cases'!P122</f>
        <v>0</v>
      </c>
      <c r="H122" s="20">
        <f>'Test Cases'!N122</f>
        <v>0</v>
      </c>
      <c r="I122" s="11"/>
    </row>
    <row r="123" ht="19.5" customHeight="1" spans="1:9">
      <c r="A123" s="20" t="str">
        <f>'Test Cases'!A123</f>
        <v>TC_0122</v>
      </c>
      <c r="B123" s="20" t="str">
        <f>'Test Cases'!B123</f>
        <v>TS_006</v>
      </c>
      <c r="C123" s="20" t="str">
        <f>'Test Cases'!D123</f>
        <v>Product Compare</v>
      </c>
      <c r="D123" s="20" t="str">
        <f>'Test Cases'!J123</f>
        <v>P4</v>
      </c>
      <c r="E123" s="20" t="str">
        <f>'Test Cases'!L123</f>
        <v>Not Run</v>
      </c>
      <c r="F123" s="20">
        <f>'Test Cases'!O123</f>
        <v>0</v>
      </c>
      <c r="G123" s="20">
        <f>'Test Cases'!P123</f>
        <v>0</v>
      </c>
      <c r="H123" s="20">
        <f>'Test Cases'!N123</f>
        <v>0</v>
      </c>
      <c r="I123" s="11"/>
    </row>
    <row r="124" ht="19.5" customHeight="1" spans="1:9">
      <c r="A124" s="20" t="str">
        <f>'Test Cases'!A124</f>
        <v>TC_0123</v>
      </c>
      <c r="B124" s="20" t="str">
        <f>'Test Cases'!B124</f>
        <v>TS_006</v>
      </c>
      <c r="C124" s="20" t="str">
        <f>'Test Cases'!D124</f>
        <v>Product Compare</v>
      </c>
      <c r="D124" s="20" t="str">
        <f>'Test Cases'!J124</f>
        <v>P4</v>
      </c>
      <c r="E124" s="20" t="str">
        <f>'Test Cases'!L124</f>
        <v>Not Run</v>
      </c>
      <c r="F124" s="20">
        <f>'Test Cases'!O124</f>
        <v>0</v>
      </c>
      <c r="G124" s="20">
        <f>'Test Cases'!P124</f>
        <v>0</v>
      </c>
      <c r="H124" s="20">
        <f>'Test Cases'!N124</f>
        <v>0</v>
      </c>
      <c r="I124" s="11"/>
    </row>
    <row r="125" ht="19.5" customHeight="1" spans="1:9">
      <c r="A125" s="20" t="str">
        <f>'Test Cases'!A125</f>
        <v>TC_0124</v>
      </c>
      <c r="B125" s="20" t="str">
        <f>'Test Cases'!B125</f>
        <v>TS_006</v>
      </c>
      <c r="C125" s="20" t="str">
        <f>'Test Cases'!D125</f>
        <v>Product Compare</v>
      </c>
      <c r="D125" s="20" t="str">
        <f>'Test Cases'!J125</f>
        <v>P4</v>
      </c>
      <c r="E125" s="20" t="str">
        <f>'Test Cases'!L125</f>
        <v>Not Run</v>
      </c>
      <c r="F125" s="20">
        <f>'Test Cases'!O125</f>
        <v>0</v>
      </c>
      <c r="G125" s="20">
        <f>'Test Cases'!P125</f>
        <v>0</v>
      </c>
      <c r="H125" s="20">
        <f>'Test Cases'!N125</f>
        <v>0</v>
      </c>
      <c r="I125" s="11"/>
    </row>
    <row r="126" ht="19.5" customHeight="1" spans="1:9">
      <c r="A126" s="20" t="str">
        <f>'Test Cases'!A126</f>
        <v>TC_0125</v>
      </c>
      <c r="B126" s="20" t="str">
        <f>'Test Cases'!B126</f>
        <v>TS_006</v>
      </c>
      <c r="C126" s="20" t="str">
        <f>'Test Cases'!D126</f>
        <v>Product Compare</v>
      </c>
      <c r="D126" s="20" t="str">
        <f>'Test Cases'!J126</f>
        <v>P4</v>
      </c>
      <c r="E126" s="20" t="str">
        <f>'Test Cases'!L126</f>
        <v>Not Run</v>
      </c>
      <c r="F126" s="20">
        <f>'Test Cases'!O126</f>
        <v>0</v>
      </c>
      <c r="G126" s="20">
        <f>'Test Cases'!P126</f>
        <v>0</v>
      </c>
      <c r="H126" s="20">
        <f>'Test Cases'!N126</f>
        <v>0</v>
      </c>
      <c r="I126" s="11"/>
    </row>
    <row r="127" ht="19.5" customHeight="1" spans="1:9">
      <c r="A127" s="20" t="str">
        <f>'Test Cases'!A127</f>
        <v>TC_0126</v>
      </c>
      <c r="B127" s="20" t="str">
        <f>'Test Cases'!B127</f>
        <v>TS_006</v>
      </c>
      <c r="C127" s="20" t="str">
        <f>'Test Cases'!D127</f>
        <v>Product Compare</v>
      </c>
      <c r="D127" s="20" t="str">
        <f>'Test Cases'!J127</f>
        <v>P4</v>
      </c>
      <c r="E127" s="20" t="str">
        <f>'Test Cases'!L127</f>
        <v>Not Run</v>
      </c>
      <c r="F127" s="20">
        <f>'Test Cases'!O127</f>
        <v>0</v>
      </c>
      <c r="G127" s="20">
        <f>'Test Cases'!P127</f>
        <v>0</v>
      </c>
      <c r="H127" s="20">
        <f>'Test Cases'!N127</f>
        <v>0</v>
      </c>
      <c r="I127" s="11"/>
    </row>
    <row r="128" ht="19.5" customHeight="1" spans="1:9">
      <c r="A128" s="20" t="str">
        <f>'Test Cases'!A128</f>
        <v>TC_0127</v>
      </c>
      <c r="B128" s="20" t="str">
        <f>'Test Cases'!B128</f>
        <v>TS_006</v>
      </c>
      <c r="C128" s="20" t="str">
        <f>'Test Cases'!D128</f>
        <v>Product Compare</v>
      </c>
      <c r="D128" s="20" t="str">
        <f>'Test Cases'!J128</f>
        <v>P4</v>
      </c>
      <c r="E128" s="20" t="str">
        <f>'Test Cases'!L128</f>
        <v>Not Run</v>
      </c>
      <c r="F128" s="20">
        <f>'Test Cases'!O128</f>
        <v>0</v>
      </c>
      <c r="G128" s="20">
        <f>'Test Cases'!P128</f>
        <v>0</v>
      </c>
      <c r="H128" s="20">
        <f>'Test Cases'!N128</f>
        <v>0</v>
      </c>
      <c r="I128" s="11"/>
    </row>
    <row r="129" ht="19.5" customHeight="1" spans="1:9">
      <c r="A129" s="20" t="str">
        <f>'Test Cases'!A129</f>
        <v>TC_0128</v>
      </c>
      <c r="B129" s="20" t="str">
        <f>'Test Cases'!B129</f>
        <v>TS_006</v>
      </c>
      <c r="C129" s="20" t="str">
        <f>'Test Cases'!D129</f>
        <v>Product Compare</v>
      </c>
      <c r="D129" s="20" t="str">
        <f>'Test Cases'!J129</f>
        <v>P4</v>
      </c>
      <c r="E129" s="20" t="str">
        <f>'Test Cases'!L129</f>
        <v>Not Run</v>
      </c>
      <c r="F129" s="20">
        <f>'Test Cases'!O129</f>
        <v>0</v>
      </c>
      <c r="G129" s="20">
        <f>'Test Cases'!P129</f>
        <v>0</v>
      </c>
      <c r="H129" s="20">
        <f>'Test Cases'!N129</f>
        <v>0</v>
      </c>
      <c r="I129" s="11"/>
    </row>
    <row r="130" ht="19.5" customHeight="1" spans="1:9">
      <c r="A130" s="20" t="str">
        <f>'Test Cases'!A130</f>
        <v>TC_0129</v>
      </c>
      <c r="B130" s="20" t="str">
        <f>'Test Cases'!B130</f>
        <v>TS_006</v>
      </c>
      <c r="C130" s="20" t="str">
        <f>'Test Cases'!D130</f>
        <v>Product Compare</v>
      </c>
      <c r="D130" s="20" t="str">
        <f>'Test Cases'!J130</f>
        <v>P4</v>
      </c>
      <c r="E130" s="20" t="str">
        <f>'Test Cases'!L130</f>
        <v>Not Run</v>
      </c>
      <c r="F130" s="20">
        <f>'Test Cases'!O130</f>
        <v>0</v>
      </c>
      <c r="G130" s="20">
        <f>'Test Cases'!P130</f>
        <v>0</v>
      </c>
      <c r="H130" s="20">
        <f>'Test Cases'!N130</f>
        <v>0</v>
      </c>
      <c r="I130" s="11"/>
    </row>
    <row r="131" ht="19.5" customHeight="1" spans="1:9">
      <c r="A131" s="20" t="str">
        <f>'Test Cases'!A131</f>
        <v>TC_0130</v>
      </c>
      <c r="B131" s="20" t="str">
        <f>'Test Cases'!B131</f>
        <v>TS_006</v>
      </c>
      <c r="C131" s="20" t="str">
        <f>'Test Cases'!D131</f>
        <v>Product Compare</v>
      </c>
      <c r="D131" s="20" t="str">
        <f>'Test Cases'!J131</f>
        <v>P4</v>
      </c>
      <c r="E131" s="20" t="str">
        <f>'Test Cases'!L131</f>
        <v>Pass</v>
      </c>
      <c r="F131" s="20" t="str">
        <f>'Test Cases'!O131</f>
        <v>Ali Hassan</v>
      </c>
      <c r="G131" s="20" t="str">
        <f>'Test Cases'!P131</f>
        <v>2026-09-18</v>
      </c>
      <c r="H131" s="20">
        <f>'Test Cases'!N131</f>
        <v>0</v>
      </c>
      <c r="I131" s="11"/>
    </row>
    <row r="132" ht="19.5" customHeight="1" spans="1:9">
      <c r="A132" s="20" t="str">
        <f>'Test Cases'!A132</f>
        <v>TC_0131</v>
      </c>
      <c r="B132" s="20" t="str">
        <f>'Test Cases'!B132</f>
        <v>TS_006</v>
      </c>
      <c r="C132" s="20" t="str">
        <f>'Test Cases'!D132</f>
        <v>Product Compare</v>
      </c>
      <c r="D132" s="20" t="str">
        <f>'Test Cases'!J132</f>
        <v>P4</v>
      </c>
      <c r="E132" s="20" t="str">
        <f>'Test Cases'!L132</f>
        <v>Not Run</v>
      </c>
      <c r="F132" s="20">
        <f>'Test Cases'!O132</f>
        <v>0</v>
      </c>
      <c r="G132" s="20">
        <f>'Test Cases'!P132</f>
        <v>0</v>
      </c>
      <c r="H132" s="20">
        <f>'Test Cases'!N132</f>
        <v>0</v>
      </c>
      <c r="I132" s="11"/>
    </row>
    <row r="133" ht="19.5" customHeight="1" spans="1:9">
      <c r="A133" s="20" t="str">
        <f>'Test Cases'!A133</f>
        <v>TC_0132</v>
      </c>
      <c r="B133" s="20" t="str">
        <f>'Test Cases'!B133</f>
        <v>TS_006</v>
      </c>
      <c r="C133" s="20" t="str">
        <f>'Test Cases'!D133</f>
        <v>Product Compare</v>
      </c>
      <c r="D133" s="20" t="str">
        <f>'Test Cases'!J133</f>
        <v>P4</v>
      </c>
      <c r="E133" s="20" t="str">
        <f>'Test Cases'!L133</f>
        <v>Not Run</v>
      </c>
      <c r="F133" s="20">
        <f>'Test Cases'!O133</f>
        <v>0</v>
      </c>
      <c r="G133" s="20">
        <f>'Test Cases'!P133</f>
        <v>0</v>
      </c>
      <c r="H133" s="20">
        <f>'Test Cases'!N133</f>
        <v>0</v>
      </c>
      <c r="I133" s="11"/>
    </row>
    <row r="134" ht="19.5" customHeight="1" spans="1:9">
      <c r="A134" s="20" t="str">
        <f>'Test Cases'!A134</f>
        <v>TC_0133</v>
      </c>
      <c r="B134" s="20" t="str">
        <f>'Test Cases'!B134</f>
        <v>TS_007</v>
      </c>
      <c r="C134" s="20" t="str">
        <f>'Test Cases'!D134</f>
        <v>Product Display Page</v>
      </c>
      <c r="D134" s="20" t="str">
        <f>'Test Cases'!J134</f>
        <v>P1</v>
      </c>
      <c r="E134" s="20" t="str">
        <f>'Test Cases'!L134</f>
        <v>Not Run</v>
      </c>
      <c r="F134" s="20">
        <f>'Test Cases'!O134</f>
        <v>0</v>
      </c>
      <c r="G134" s="20">
        <f>'Test Cases'!P134</f>
        <v>0</v>
      </c>
      <c r="H134" s="20">
        <f>'Test Cases'!N134</f>
        <v>0</v>
      </c>
      <c r="I134" s="11"/>
    </row>
    <row r="135" ht="19.5" customHeight="1" spans="1:9">
      <c r="A135" s="20" t="str">
        <f>'Test Cases'!A135</f>
        <v>TC_0134</v>
      </c>
      <c r="B135" s="20" t="str">
        <f>'Test Cases'!B135</f>
        <v>TS_007</v>
      </c>
      <c r="C135" s="20" t="str">
        <f>'Test Cases'!D135</f>
        <v>Product Display Page</v>
      </c>
      <c r="D135" s="20" t="str">
        <f>'Test Cases'!J135</f>
        <v>P1</v>
      </c>
      <c r="E135" s="20" t="str">
        <f>'Test Cases'!L135</f>
        <v>Not Run</v>
      </c>
      <c r="F135" s="20">
        <f>'Test Cases'!O135</f>
        <v>0</v>
      </c>
      <c r="G135" s="20">
        <f>'Test Cases'!P135</f>
        <v>0</v>
      </c>
      <c r="H135" s="20">
        <f>'Test Cases'!N135</f>
        <v>0</v>
      </c>
      <c r="I135" s="11"/>
    </row>
    <row r="136" ht="19.5" customHeight="1" spans="1:9">
      <c r="A136" s="20" t="str">
        <f>'Test Cases'!A136</f>
        <v>TC_0135</v>
      </c>
      <c r="B136" s="20" t="str">
        <f>'Test Cases'!B136</f>
        <v>TS_007</v>
      </c>
      <c r="C136" s="20" t="str">
        <f>'Test Cases'!D136</f>
        <v>Product Display Page</v>
      </c>
      <c r="D136" s="20" t="str">
        <f>'Test Cases'!J136</f>
        <v>P1</v>
      </c>
      <c r="E136" s="20" t="str">
        <f>'Test Cases'!L136</f>
        <v>Not Run</v>
      </c>
      <c r="F136" s="20">
        <f>'Test Cases'!O136</f>
        <v>0</v>
      </c>
      <c r="G136" s="20">
        <f>'Test Cases'!P136</f>
        <v>0</v>
      </c>
      <c r="H136" s="20">
        <f>'Test Cases'!N136</f>
        <v>0</v>
      </c>
      <c r="I136" s="11"/>
    </row>
    <row r="137" ht="19.5" customHeight="1" spans="1:9">
      <c r="A137" s="20" t="str">
        <f>'Test Cases'!A137</f>
        <v>TC_0136</v>
      </c>
      <c r="B137" s="20" t="str">
        <f>'Test Cases'!B137</f>
        <v>TS_007</v>
      </c>
      <c r="C137" s="20" t="str">
        <f>'Test Cases'!D137</f>
        <v>Product Display Page</v>
      </c>
      <c r="D137" s="20" t="str">
        <f>'Test Cases'!J137</f>
        <v>P1</v>
      </c>
      <c r="E137" s="20" t="str">
        <f>'Test Cases'!L137</f>
        <v>Not Run</v>
      </c>
      <c r="F137" s="20">
        <f>'Test Cases'!O137</f>
        <v>0</v>
      </c>
      <c r="G137" s="20">
        <f>'Test Cases'!P137</f>
        <v>0</v>
      </c>
      <c r="H137" s="20">
        <f>'Test Cases'!N137</f>
        <v>0</v>
      </c>
      <c r="I137" s="11"/>
    </row>
    <row r="138" ht="19.5" customHeight="1" spans="1:9">
      <c r="A138" s="20" t="str">
        <f>'Test Cases'!A138</f>
        <v>TC_0137</v>
      </c>
      <c r="B138" s="20" t="str">
        <f>'Test Cases'!B138</f>
        <v>TS_007</v>
      </c>
      <c r="C138" s="20" t="str">
        <f>'Test Cases'!D138</f>
        <v>Product Display Page</v>
      </c>
      <c r="D138" s="20" t="str">
        <f>'Test Cases'!J138</f>
        <v>P1</v>
      </c>
      <c r="E138" s="20" t="str">
        <f>'Test Cases'!L138</f>
        <v>Not Run</v>
      </c>
      <c r="F138" s="20">
        <f>'Test Cases'!O138</f>
        <v>0</v>
      </c>
      <c r="G138" s="20">
        <f>'Test Cases'!P138</f>
        <v>0</v>
      </c>
      <c r="H138" s="20">
        <f>'Test Cases'!N138</f>
        <v>0</v>
      </c>
      <c r="I138" s="11"/>
    </row>
    <row r="139" ht="19.5" customHeight="1" spans="1:9">
      <c r="A139" s="20" t="str">
        <f>'Test Cases'!A139</f>
        <v>TC_0138</v>
      </c>
      <c r="B139" s="20" t="str">
        <f>'Test Cases'!B139</f>
        <v>TS_007</v>
      </c>
      <c r="C139" s="20" t="str">
        <f>'Test Cases'!D139</f>
        <v>Product Display Page</v>
      </c>
      <c r="D139" s="20" t="str">
        <f>'Test Cases'!J139</f>
        <v>P1</v>
      </c>
      <c r="E139" s="20" t="str">
        <f>'Test Cases'!L139</f>
        <v>Not Run</v>
      </c>
      <c r="F139" s="20">
        <f>'Test Cases'!O139</f>
        <v>0</v>
      </c>
      <c r="G139" s="20">
        <f>'Test Cases'!P139</f>
        <v>0</v>
      </c>
      <c r="H139" s="20">
        <f>'Test Cases'!N139</f>
        <v>0</v>
      </c>
      <c r="I139" s="11"/>
    </row>
    <row r="140" ht="19.5" customHeight="1" spans="1:9">
      <c r="A140" s="20" t="str">
        <f>'Test Cases'!A140</f>
        <v>TC_0139</v>
      </c>
      <c r="B140" s="20" t="str">
        <f>'Test Cases'!B140</f>
        <v>TS_007</v>
      </c>
      <c r="C140" s="20" t="str">
        <f>'Test Cases'!D140</f>
        <v>Product Display Page</v>
      </c>
      <c r="D140" s="20" t="str">
        <f>'Test Cases'!J140</f>
        <v>P1</v>
      </c>
      <c r="E140" s="20" t="str">
        <f>'Test Cases'!L140</f>
        <v>Not Run</v>
      </c>
      <c r="F140" s="20">
        <f>'Test Cases'!O140</f>
        <v>0</v>
      </c>
      <c r="G140" s="20">
        <f>'Test Cases'!P140</f>
        <v>0</v>
      </c>
      <c r="H140" s="20">
        <f>'Test Cases'!N140</f>
        <v>0</v>
      </c>
      <c r="I140" s="11"/>
    </row>
    <row r="141" ht="19.5" customHeight="1" spans="1:9">
      <c r="A141" s="20" t="str">
        <f>'Test Cases'!A141</f>
        <v>TC_0140</v>
      </c>
      <c r="B141" s="20" t="str">
        <f>'Test Cases'!B141</f>
        <v>TS_007</v>
      </c>
      <c r="C141" s="20" t="str">
        <f>'Test Cases'!D141</f>
        <v>Product Display Page</v>
      </c>
      <c r="D141" s="20" t="str">
        <f>'Test Cases'!J141</f>
        <v>P1</v>
      </c>
      <c r="E141" s="20" t="str">
        <f>'Test Cases'!L141</f>
        <v>Not Run</v>
      </c>
      <c r="F141" s="20">
        <f>'Test Cases'!O141</f>
        <v>0</v>
      </c>
      <c r="G141" s="20">
        <f>'Test Cases'!P141</f>
        <v>0</v>
      </c>
      <c r="H141" s="20">
        <f>'Test Cases'!N141</f>
        <v>0</v>
      </c>
      <c r="I141" s="11"/>
    </row>
    <row r="142" ht="19.5" customHeight="1" spans="1:9">
      <c r="A142" s="20" t="str">
        <f>'Test Cases'!A142</f>
        <v>TC_0141</v>
      </c>
      <c r="B142" s="20" t="str">
        <f>'Test Cases'!B142</f>
        <v>TS_007</v>
      </c>
      <c r="C142" s="20" t="str">
        <f>'Test Cases'!D142</f>
        <v>Product Display Page</v>
      </c>
      <c r="D142" s="20" t="str">
        <f>'Test Cases'!J142</f>
        <v>P1</v>
      </c>
      <c r="E142" s="20" t="str">
        <f>'Test Cases'!L142</f>
        <v>Not Run</v>
      </c>
      <c r="F142" s="20">
        <f>'Test Cases'!O142</f>
        <v>0</v>
      </c>
      <c r="G142" s="20">
        <f>'Test Cases'!P142</f>
        <v>0</v>
      </c>
      <c r="H142" s="20">
        <f>'Test Cases'!N142</f>
        <v>0</v>
      </c>
      <c r="I142" s="11"/>
    </row>
    <row r="143" ht="19.5" customHeight="1" spans="1:9">
      <c r="A143" s="20" t="str">
        <f>'Test Cases'!A143</f>
        <v>TC_0142</v>
      </c>
      <c r="B143" s="20" t="str">
        <f>'Test Cases'!B143</f>
        <v>TS_007</v>
      </c>
      <c r="C143" s="20" t="str">
        <f>'Test Cases'!D143</f>
        <v>Product Display Page</v>
      </c>
      <c r="D143" s="20" t="str">
        <f>'Test Cases'!J143</f>
        <v>P1</v>
      </c>
      <c r="E143" s="20" t="str">
        <f>'Test Cases'!L143</f>
        <v>Not Run</v>
      </c>
      <c r="F143" s="20">
        <f>'Test Cases'!O143</f>
        <v>0</v>
      </c>
      <c r="G143" s="20">
        <f>'Test Cases'!P143</f>
        <v>0</v>
      </c>
      <c r="H143" s="20">
        <f>'Test Cases'!N143</f>
        <v>0</v>
      </c>
      <c r="I143" s="11"/>
    </row>
    <row r="144" ht="19.5" customHeight="1" spans="1:9">
      <c r="A144" s="20" t="str">
        <f>'Test Cases'!A144</f>
        <v>TC_0143</v>
      </c>
      <c r="B144" s="20" t="str">
        <f>'Test Cases'!B144</f>
        <v>TS_007</v>
      </c>
      <c r="C144" s="20" t="str">
        <f>'Test Cases'!D144</f>
        <v>Product Display Page</v>
      </c>
      <c r="D144" s="20" t="str">
        <f>'Test Cases'!J144</f>
        <v>P1</v>
      </c>
      <c r="E144" s="20" t="str">
        <f>'Test Cases'!L144</f>
        <v>Not Run</v>
      </c>
      <c r="F144" s="20">
        <f>'Test Cases'!O144</f>
        <v>0</v>
      </c>
      <c r="G144" s="20">
        <f>'Test Cases'!P144</f>
        <v>0</v>
      </c>
      <c r="H144" s="20">
        <f>'Test Cases'!N144</f>
        <v>0</v>
      </c>
      <c r="I144" s="11"/>
    </row>
    <row r="145" ht="19.5" customHeight="1" spans="1:9">
      <c r="A145" s="20" t="str">
        <f>'Test Cases'!A145</f>
        <v>TC_0144</v>
      </c>
      <c r="B145" s="20" t="str">
        <f>'Test Cases'!B145</f>
        <v>TS_007</v>
      </c>
      <c r="C145" s="20" t="str">
        <f>'Test Cases'!D145</f>
        <v>Product Display Page</v>
      </c>
      <c r="D145" s="20" t="str">
        <f>'Test Cases'!J145</f>
        <v>P1</v>
      </c>
      <c r="E145" s="20" t="str">
        <f>'Test Cases'!L145</f>
        <v>Not Run</v>
      </c>
      <c r="F145" s="20">
        <f>'Test Cases'!O145</f>
        <v>0</v>
      </c>
      <c r="G145" s="20">
        <f>'Test Cases'!P145</f>
        <v>0</v>
      </c>
      <c r="H145" s="20">
        <f>'Test Cases'!N145</f>
        <v>0</v>
      </c>
      <c r="I145" s="11"/>
    </row>
    <row r="146" ht="19.5" customHeight="1" spans="1:9">
      <c r="A146" s="20" t="str">
        <f>'Test Cases'!A146</f>
        <v>TC_0145</v>
      </c>
      <c r="B146" s="20" t="str">
        <f>'Test Cases'!B146</f>
        <v>TS_007</v>
      </c>
      <c r="C146" s="20" t="str">
        <f>'Test Cases'!D146</f>
        <v>Product Display Page</v>
      </c>
      <c r="D146" s="20" t="str">
        <f>'Test Cases'!J146</f>
        <v>P1</v>
      </c>
      <c r="E146" s="20" t="str">
        <f>'Test Cases'!L146</f>
        <v>Not Run</v>
      </c>
      <c r="F146" s="20">
        <f>'Test Cases'!O146</f>
        <v>0</v>
      </c>
      <c r="G146" s="20">
        <f>'Test Cases'!P146</f>
        <v>0</v>
      </c>
      <c r="H146" s="20">
        <f>'Test Cases'!N146</f>
        <v>0</v>
      </c>
      <c r="I146" s="11"/>
    </row>
    <row r="147" ht="19.5" customHeight="1" spans="1:9">
      <c r="A147" s="20" t="str">
        <f>'Test Cases'!A147</f>
        <v>TC_0146</v>
      </c>
      <c r="B147" s="20" t="str">
        <f>'Test Cases'!B147</f>
        <v>TS_007</v>
      </c>
      <c r="C147" s="20" t="str">
        <f>'Test Cases'!D147</f>
        <v>Product Display Page</v>
      </c>
      <c r="D147" s="20" t="str">
        <f>'Test Cases'!J147</f>
        <v>P1</v>
      </c>
      <c r="E147" s="20" t="str">
        <f>'Test Cases'!L147</f>
        <v>Not Run</v>
      </c>
      <c r="F147" s="20">
        <f>'Test Cases'!O147</f>
        <v>0</v>
      </c>
      <c r="G147" s="20">
        <f>'Test Cases'!P147</f>
        <v>0</v>
      </c>
      <c r="H147" s="20">
        <f>'Test Cases'!N147</f>
        <v>0</v>
      </c>
      <c r="I147" s="11"/>
    </row>
    <row r="148" ht="19.5" customHeight="1" spans="1:9">
      <c r="A148" s="20" t="str">
        <f>'Test Cases'!A148</f>
        <v>TC_0147</v>
      </c>
      <c r="B148" s="20" t="str">
        <f>'Test Cases'!B148</f>
        <v>TS_007</v>
      </c>
      <c r="C148" s="20" t="str">
        <f>'Test Cases'!D148</f>
        <v>Product Display Page</v>
      </c>
      <c r="D148" s="20" t="str">
        <f>'Test Cases'!J148</f>
        <v>P1</v>
      </c>
      <c r="E148" s="20" t="str">
        <f>'Test Cases'!L148</f>
        <v>Not Run</v>
      </c>
      <c r="F148" s="20">
        <f>'Test Cases'!O148</f>
        <v>0</v>
      </c>
      <c r="G148" s="20">
        <f>'Test Cases'!P148</f>
        <v>0</v>
      </c>
      <c r="H148" s="20">
        <f>'Test Cases'!N148</f>
        <v>0</v>
      </c>
      <c r="I148" s="11"/>
    </row>
    <row r="149" ht="19.5" customHeight="1" spans="1:9">
      <c r="A149" s="20" t="str">
        <f>'Test Cases'!A149</f>
        <v>TC_0148</v>
      </c>
      <c r="B149" s="20" t="str">
        <f>'Test Cases'!B149</f>
        <v>TS_007</v>
      </c>
      <c r="C149" s="20" t="str">
        <f>'Test Cases'!D149</f>
        <v>Product Display Page</v>
      </c>
      <c r="D149" s="20" t="str">
        <f>'Test Cases'!J149</f>
        <v>P1</v>
      </c>
      <c r="E149" s="20" t="str">
        <f>'Test Cases'!L149</f>
        <v>Not Run</v>
      </c>
      <c r="F149" s="20">
        <f>'Test Cases'!O149</f>
        <v>0</v>
      </c>
      <c r="G149" s="20">
        <f>'Test Cases'!P149</f>
        <v>0</v>
      </c>
      <c r="H149" s="20">
        <f>'Test Cases'!N149</f>
        <v>0</v>
      </c>
      <c r="I149" s="11"/>
    </row>
    <row r="150" ht="19.5" customHeight="1" spans="1:9">
      <c r="A150" s="20" t="str">
        <f>'Test Cases'!A150</f>
        <v>TC_0149</v>
      </c>
      <c r="B150" s="20" t="str">
        <f>'Test Cases'!B150</f>
        <v>TS_007</v>
      </c>
      <c r="C150" s="20" t="str">
        <f>'Test Cases'!D150</f>
        <v>Product Display Page</v>
      </c>
      <c r="D150" s="20" t="str">
        <f>'Test Cases'!J150</f>
        <v>P1</v>
      </c>
      <c r="E150" s="20" t="str">
        <f>'Test Cases'!L150</f>
        <v>Not Run</v>
      </c>
      <c r="F150" s="20">
        <f>'Test Cases'!O150</f>
        <v>0</v>
      </c>
      <c r="G150" s="20">
        <f>'Test Cases'!P150</f>
        <v>0</v>
      </c>
      <c r="H150" s="20">
        <f>'Test Cases'!N150</f>
        <v>0</v>
      </c>
      <c r="I150" s="11"/>
    </row>
    <row r="151" ht="19.5" customHeight="1" spans="1:9">
      <c r="A151" s="20" t="str">
        <f>'Test Cases'!A151</f>
        <v>TC_0150</v>
      </c>
      <c r="B151" s="20" t="str">
        <f>'Test Cases'!B151</f>
        <v>TS_007</v>
      </c>
      <c r="C151" s="20" t="str">
        <f>'Test Cases'!D151</f>
        <v>Product Display Page</v>
      </c>
      <c r="D151" s="20" t="str">
        <f>'Test Cases'!J151</f>
        <v>P1</v>
      </c>
      <c r="E151" s="20" t="str">
        <f>'Test Cases'!L151</f>
        <v>Pass</v>
      </c>
      <c r="F151" s="20" t="str">
        <f>'Test Cases'!O151</f>
        <v>Youssef Adel</v>
      </c>
      <c r="G151" s="20" t="str">
        <f>'Test Cases'!P151</f>
        <v>2026-09-18</v>
      </c>
      <c r="H151" s="20">
        <f>'Test Cases'!N151</f>
        <v>0</v>
      </c>
      <c r="I151" s="11"/>
    </row>
    <row r="152" ht="19.5" customHeight="1" spans="1:9">
      <c r="A152" s="20" t="str">
        <f>'Test Cases'!A152</f>
        <v>TC_0151</v>
      </c>
      <c r="B152" s="20" t="str">
        <f>'Test Cases'!B152</f>
        <v>TS_007</v>
      </c>
      <c r="C152" s="20" t="str">
        <f>'Test Cases'!D152</f>
        <v>Product Display Page</v>
      </c>
      <c r="D152" s="20" t="str">
        <f>'Test Cases'!J152</f>
        <v>P1</v>
      </c>
      <c r="E152" s="20" t="str">
        <f>'Test Cases'!L152</f>
        <v>Not Run</v>
      </c>
      <c r="F152" s="20">
        <f>'Test Cases'!O152</f>
        <v>0</v>
      </c>
      <c r="G152" s="20">
        <f>'Test Cases'!P152</f>
        <v>0</v>
      </c>
      <c r="H152" s="20">
        <f>'Test Cases'!N152</f>
        <v>0</v>
      </c>
      <c r="I152" s="11"/>
    </row>
    <row r="153" ht="19.5" customHeight="1" spans="1:9">
      <c r="A153" s="20" t="str">
        <f>'Test Cases'!A153</f>
        <v>TC_0152</v>
      </c>
      <c r="B153" s="20" t="str">
        <f>'Test Cases'!B153</f>
        <v>TS_007</v>
      </c>
      <c r="C153" s="20" t="str">
        <f>'Test Cases'!D153</f>
        <v>Product Display Page</v>
      </c>
      <c r="D153" s="20" t="str">
        <f>'Test Cases'!J153</f>
        <v>P1</v>
      </c>
      <c r="E153" s="20" t="str">
        <f>'Test Cases'!L153</f>
        <v>Not Run</v>
      </c>
      <c r="F153" s="20">
        <f>'Test Cases'!O153</f>
        <v>0</v>
      </c>
      <c r="G153" s="20">
        <f>'Test Cases'!P153</f>
        <v>0</v>
      </c>
      <c r="H153" s="20">
        <f>'Test Cases'!N153</f>
        <v>0</v>
      </c>
      <c r="I153" s="11"/>
    </row>
    <row r="154" ht="19.5" customHeight="1" spans="1:9">
      <c r="A154" s="20" t="str">
        <f>'Test Cases'!A154</f>
        <v>TC_0153</v>
      </c>
      <c r="B154" s="20" t="str">
        <f>'Test Cases'!B154</f>
        <v>TS_007</v>
      </c>
      <c r="C154" s="20" t="str">
        <f>'Test Cases'!D154</f>
        <v>Product Display Page</v>
      </c>
      <c r="D154" s="20" t="str">
        <f>'Test Cases'!J154</f>
        <v>P1</v>
      </c>
      <c r="E154" s="20" t="str">
        <f>'Test Cases'!L154</f>
        <v>Not Run</v>
      </c>
      <c r="F154" s="20">
        <f>'Test Cases'!O154</f>
        <v>0</v>
      </c>
      <c r="G154" s="20">
        <f>'Test Cases'!P154</f>
        <v>0</v>
      </c>
      <c r="H154" s="20">
        <f>'Test Cases'!N154</f>
        <v>0</v>
      </c>
      <c r="I154" s="11"/>
    </row>
    <row r="155" ht="19.5" customHeight="1" spans="1:9">
      <c r="A155" s="20" t="str">
        <f>'Test Cases'!A155</f>
        <v>TC_0154</v>
      </c>
      <c r="B155" s="20" t="str">
        <f>'Test Cases'!B155</f>
        <v>TS_007</v>
      </c>
      <c r="C155" s="20" t="str">
        <f>'Test Cases'!D155</f>
        <v>Product Display Page</v>
      </c>
      <c r="D155" s="20" t="str">
        <f>'Test Cases'!J155</f>
        <v>P1</v>
      </c>
      <c r="E155" s="20" t="str">
        <f>'Test Cases'!L155</f>
        <v>Not Run</v>
      </c>
      <c r="F155" s="20">
        <f>'Test Cases'!O155</f>
        <v>0</v>
      </c>
      <c r="G155" s="20">
        <f>'Test Cases'!P155</f>
        <v>0</v>
      </c>
      <c r="H155" s="20">
        <f>'Test Cases'!N155</f>
        <v>0</v>
      </c>
      <c r="I155" s="11"/>
    </row>
    <row r="156" ht="19.5" customHeight="1" spans="1:9">
      <c r="A156" s="20" t="str">
        <f>'Test Cases'!A156</f>
        <v>TC_0155</v>
      </c>
      <c r="B156" s="20" t="str">
        <f>'Test Cases'!B156</f>
        <v>TS_007</v>
      </c>
      <c r="C156" s="20" t="str">
        <f>'Test Cases'!D156</f>
        <v>Product Display Page</v>
      </c>
      <c r="D156" s="20" t="str">
        <f>'Test Cases'!J156</f>
        <v>P1</v>
      </c>
      <c r="E156" s="20" t="str">
        <f>'Test Cases'!L156</f>
        <v>Not Run</v>
      </c>
      <c r="F156" s="20">
        <f>'Test Cases'!O156</f>
        <v>0</v>
      </c>
      <c r="G156" s="20">
        <f>'Test Cases'!P156</f>
        <v>0</v>
      </c>
      <c r="H156" s="20">
        <f>'Test Cases'!N156</f>
        <v>0</v>
      </c>
      <c r="I156" s="11"/>
    </row>
    <row r="157" ht="19.5" customHeight="1" spans="1:9">
      <c r="A157" s="20" t="str">
        <f>'Test Cases'!A157</f>
        <v>TC_0156</v>
      </c>
      <c r="B157" s="20" t="str">
        <f>'Test Cases'!B157</f>
        <v>TS_007</v>
      </c>
      <c r="C157" s="20" t="str">
        <f>'Test Cases'!D157</f>
        <v>Product Display Page</v>
      </c>
      <c r="D157" s="20" t="str">
        <f>'Test Cases'!J157</f>
        <v>P1</v>
      </c>
      <c r="E157" s="20" t="str">
        <f>'Test Cases'!L157</f>
        <v>Not Run</v>
      </c>
      <c r="F157" s="20">
        <f>'Test Cases'!O157</f>
        <v>0</v>
      </c>
      <c r="G157" s="20">
        <f>'Test Cases'!P157</f>
        <v>0</v>
      </c>
      <c r="H157" s="20">
        <f>'Test Cases'!N157</f>
        <v>0</v>
      </c>
      <c r="I157" s="11"/>
    </row>
    <row r="158" ht="19.5" customHeight="1" spans="1:9">
      <c r="A158" s="20" t="str">
        <f>'Test Cases'!A158</f>
        <v>TC_0157</v>
      </c>
      <c r="B158" s="20" t="str">
        <f>'Test Cases'!B158</f>
        <v>TS_007</v>
      </c>
      <c r="C158" s="20" t="str">
        <f>'Test Cases'!D158</f>
        <v>Product Display Page</v>
      </c>
      <c r="D158" s="20" t="str">
        <f>'Test Cases'!J158</f>
        <v>P1</v>
      </c>
      <c r="E158" s="20" t="str">
        <f>'Test Cases'!L158</f>
        <v>Not Run</v>
      </c>
      <c r="F158" s="20">
        <f>'Test Cases'!O158</f>
        <v>0</v>
      </c>
      <c r="G158" s="20">
        <f>'Test Cases'!P158</f>
        <v>0</v>
      </c>
      <c r="H158" s="20">
        <f>'Test Cases'!N158</f>
        <v>0</v>
      </c>
      <c r="I158" s="11"/>
    </row>
    <row r="159" ht="19.5" customHeight="1" spans="1:9">
      <c r="A159" s="20" t="str">
        <f>'Test Cases'!A159</f>
        <v>TC_0158</v>
      </c>
      <c r="B159" s="20" t="str">
        <f>'Test Cases'!B159</f>
        <v>TS_007</v>
      </c>
      <c r="C159" s="20" t="str">
        <f>'Test Cases'!D159</f>
        <v>Product Display Page</v>
      </c>
      <c r="D159" s="20" t="str">
        <f>'Test Cases'!J159</f>
        <v>P1</v>
      </c>
      <c r="E159" s="20" t="str">
        <f>'Test Cases'!L159</f>
        <v>Not Run</v>
      </c>
      <c r="F159" s="20">
        <f>'Test Cases'!O159</f>
        <v>0</v>
      </c>
      <c r="G159" s="20">
        <f>'Test Cases'!P159</f>
        <v>0</v>
      </c>
      <c r="H159" s="20">
        <f>'Test Cases'!N159</f>
        <v>0</v>
      </c>
      <c r="I159" s="11"/>
    </row>
    <row r="160" ht="19.5" customHeight="1" spans="1:9">
      <c r="A160" s="20" t="str">
        <f>'Test Cases'!A160</f>
        <v>TC_0159</v>
      </c>
      <c r="B160" s="20" t="str">
        <f>'Test Cases'!B160</f>
        <v>TS_007</v>
      </c>
      <c r="C160" s="20" t="str">
        <f>'Test Cases'!D160</f>
        <v>Product Display Page</v>
      </c>
      <c r="D160" s="20" t="str">
        <f>'Test Cases'!J160</f>
        <v>P1</v>
      </c>
      <c r="E160" s="20" t="str">
        <f>'Test Cases'!L160</f>
        <v>Not Run</v>
      </c>
      <c r="F160" s="20">
        <f>'Test Cases'!O160</f>
        <v>0</v>
      </c>
      <c r="G160" s="20">
        <f>'Test Cases'!P160</f>
        <v>0</v>
      </c>
      <c r="H160" s="20">
        <f>'Test Cases'!N160</f>
        <v>0</v>
      </c>
      <c r="I160" s="11"/>
    </row>
    <row r="161" ht="19.5" customHeight="1" spans="1:9">
      <c r="A161" s="20" t="str">
        <f>'Test Cases'!A161</f>
        <v>TC_0160</v>
      </c>
      <c r="B161" s="20" t="str">
        <f>'Test Cases'!B161</f>
        <v>TS_007</v>
      </c>
      <c r="C161" s="20" t="str">
        <f>'Test Cases'!D161</f>
        <v>Product Display Page</v>
      </c>
      <c r="D161" s="20" t="str">
        <f>'Test Cases'!J161</f>
        <v>P1</v>
      </c>
      <c r="E161" s="20" t="str">
        <f>'Test Cases'!L161</f>
        <v>Pass</v>
      </c>
      <c r="F161" s="20" t="str">
        <f>'Test Cases'!O161</f>
        <v>Ali Hassan</v>
      </c>
      <c r="G161" s="20" t="str">
        <f>'Test Cases'!P161</f>
        <v>2026-09-18</v>
      </c>
      <c r="H161" s="20">
        <f>'Test Cases'!N161</f>
        <v>0</v>
      </c>
      <c r="I161" s="11"/>
    </row>
    <row r="162" ht="19.5" customHeight="1" spans="1:9">
      <c r="A162" s="20" t="str">
        <f>'Test Cases'!A162</f>
        <v>TC_0161</v>
      </c>
      <c r="B162" s="20" t="str">
        <f>'Test Cases'!B162</f>
        <v>TS_007</v>
      </c>
      <c r="C162" s="20" t="str">
        <f>'Test Cases'!D162</f>
        <v>Product Display Page</v>
      </c>
      <c r="D162" s="20" t="str">
        <f>'Test Cases'!J162</f>
        <v>P1</v>
      </c>
      <c r="E162" s="20" t="str">
        <f>'Test Cases'!L162</f>
        <v>Not Run</v>
      </c>
      <c r="F162" s="20">
        <f>'Test Cases'!O162</f>
        <v>0</v>
      </c>
      <c r="G162" s="20">
        <f>'Test Cases'!P162</f>
        <v>0</v>
      </c>
      <c r="H162" s="20">
        <f>'Test Cases'!N162</f>
        <v>0</v>
      </c>
      <c r="I162" s="11"/>
    </row>
    <row r="163" ht="19.5" customHeight="1" spans="1:9">
      <c r="A163" s="20" t="str">
        <f>'Test Cases'!A163</f>
        <v>TC_0162</v>
      </c>
      <c r="B163" s="20" t="str">
        <f>'Test Cases'!B163</f>
        <v>TS_007</v>
      </c>
      <c r="C163" s="20" t="str">
        <f>'Test Cases'!D163</f>
        <v>Product Display Page</v>
      </c>
      <c r="D163" s="20" t="str">
        <f>'Test Cases'!J163</f>
        <v>P1</v>
      </c>
      <c r="E163" s="20" t="str">
        <f>'Test Cases'!L163</f>
        <v>Not Run</v>
      </c>
      <c r="F163" s="20">
        <f>'Test Cases'!O163</f>
        <v>0</v>
      </c>
      <c r="G163" s="20">
        <f>'Test Cases'!P163</f>
        <v>0</v>
      </c>
      <c r="H163" s="20">
        <f>'Test Cases'!N163</f>
        <v>0</v>
      </c>
      <c r="I163" s="11"/>
    </row>
    <row r="164" ht="19.5" customHeight="1" spans="1:9">
      <c r="A164" s="20" t="str">
        <f>'Test Cases'!A164</f>
        <v>TC_0163</v>
      </c>
      <c r="B164" s="20" t="str">
        <f>'Test Cases'!B164</f>
        <v>TS_007</v>
      </c>
      <c r="C164" s="20" t="str">
        <f>'Test Cases'!D164</f>
        <v>Product Display Page</v>
      </c>
      <c r="D164" s="20" t="str">
        <f>'Test Cases'!J164</f>
        <v>P1</v>
      </c>
      <c r="E164" s="20" t="str">
        <f>'Test Cases'!L164</f>
        <v>Not Run</v>
      </c>
      <c r="F164" s="20">
        <f>'Test Cases'!O164</f>
        <v>0</v>
      </c>
      <c r="G164" s="20">
        <f>'Test Cases'!P164</f>
        <v>0</v>
      </c>
      <c r="H164" s="20">
        <f>'Test Cases'!N164</f>
        <v>0</v>
      </c>
      <c r="I164" s="11"/>
    </row>
    <row r="165" ht="19.5" customHeight="1" spans="1:9">
      <c r="A165" s="20" t="str">
        <f>'Test Cases'!A165</f>
        <v>TC_0164</v>
      </c>
      <c r="B165" s="20" t="str">
        <f>'Test Cases'!B165</f>
        <v>TS_007</v>
      </c>
      <c r="C165" s="20" t="str">
        <f>'Test Cases'!D165</f>
        <v>Product Display Page</v>
      </c>
      <c r="D165" s="20" t="str">
        <f>'Test Cases'!J165</f>
        <v>P1</v>
      </c>
      <c r="E165" s="20" t="str">
        <f>'Test Cases'!L165</f>
        <v>Not Run</v>
      </c>
      <c r="F165" s="20">
        <f>'Test Cases'!O165</f>
        <v>0</v>
      </c>
      <c r="G165" s="20">
        <f>'Test Cases'!P165</f>
        <v>0</v>
      </c>
      <c r="H165" s="20">
        <f>'Test Cases'!N165</f>
        <v>0</v>
      </c>
      <c r="I165" s="11"/>
    </row>
    <row r="166" ht="19.5" customHeight="1" spans="1:9">
      <c r="A166" s="20" t="str">
        <f>'Test Cases'!A166</f>
        <v>TC_0165</v>
      </c>
      <c r="B166" s="20" t="str">
        <f>'Test Cases'!B166</f>
        <v>TS_007</v>
      </c>
      <c r="C166" s="20" t="str">
        <f>'Test Cases'!D166</f>
        <v>Product Display Page</v>
      </c>
      <c r="D166" s="20" t="str">
        <f>'Test Cases'!J166</f>
        <v>P1</v>
      </c>
      <c r="E166" s="20" t="str">
        <f>'Test Cases'!L166</f>
        <v>Not Run</v>
      </c>
      <c r="F166" s="20">
        <f>'Test Cases'!O166</f>
        <v>0</v>
      </c>
      <c r="G166" s="20">
        <f>'Test Cases'!P166</f>
        <v>0</v>
      </c>
      <c r="H166" s="20">
        <f>'Test Cases'!N166</f>
        <v>0</v>
      </c>
      <c r="I166" s="11"/>
    </row>
    <row r="167" ht="19.5" customHeight="1" spans="1:9">
      <c r="A167" s="20" t="str">
        <f>'Test Cases'!A167</f>
        <v>TC_0166</v>
      </c>
      <c r="B167" s="20" t="str">
        <f>'Test Cases'!B167</f>
        <v>TS_007</v>
      </c>
      <c r="C167" s="20" t="str">
        <f>'Test Cases'!D167</f>
        <v>Product Display Page</v>
      </c>
      <c r="D167" s="20" t="str">
        <f>'Test Cases'!J167</f>
        <v>P1</v>
      </c>
      <c r="E167" s="20" t="str">
        <f>'Test Cases'!L167</f>
        <v>Not Run</v>
      </c>
      <c r="F167" s="20">
        <f>'Test Cases'!O167</f>
        <v>0</v>
      </c>
      <c r="G167" s="20">
        <f>'Test Cases'!P167</f>
        <v>0</v>
      </c>
      <c r="H167" s="20">
        <f>'Test Cases'!N167</f>
        <v>0</v>
      </c>
      <c r="I167" s="11"/>
    </row>
    <row r="168" ht="19.5" customHeight="1" spans="1:9">
      <c r="A168" s="20" t="str">
        <f>'Test Cases'!A168</f>
        <v>TC_0167</v>
      </c>
      <c r="B168" s="20" t="str">
        <f>'Test Cases'!B168</f>
        <v>TS_007</v>
      </c>
      <c r="C168" s="20" t="str">
        <f>'Test Cases'!D168</f>
        <v>Product Display Page</v>
      </c>
      <c r="D168" s="20" t="str">
        <f>'Test Cases'!J168</f>
        <v>P1</v>
      </c>
      <c r="E168" s="20" t="str">
        <f>'Test Cases'!L168</f>
        <v>Not Run</v>
      </c>
      <c r="F168" s="20">
        <f>'Test Cases'!O168</f>
        <v>0</v>
      </c>
      <c r="G168" s="20">
        <f>'Test Cases'!P168</f>
        <v>0</v>
      </c>
      <c r="H168" s="20">
        <f>'Test Cases'!N168</f>
        <v>0</v>
      </c>
      <c r="I168" s="11"/>
    </row>
    <row r="169" ht="19.5" customHeight="1" spans="1:9">
      <c r="A169" s="20" t="str">
        <f>'Test Cases'!A169</f>
        <v>TC_0168</v>
      </c>
      <c r="B169" s="20" t="str">
        <f>'Test Cases'!B169</f>
        <v>TS_007</v>
      </c>
      <c r="C169" s="20" t="str">
        <f>'Test Cases'!D169</f>
        <v>Product Display Page</v>
      </c>
      <c r="D169" s="20" t="str">
        <f>'Test Cases'!J169</f>
        <v>P1</v>
      </c>
      <c r="E169" s="20" t="str">
        <f>'Test Cases'!L169</f>
        <v>Not Run</v>
      </c>
      <c r="F169" s="20">
        <f>'Test Cases'!O169</f>
        <v>0</v>
      </c>
      <c r="G169" s="20">
        <f>'Test Cases'!P169</f>
        <v>0</v>
      </c>
      <c r="H169" s="20">
        <f>'Test Cases'!N169</f>
        <v>0</v>
      </c>
      <c r="I169" s="11"/>
    </row>
    <row r="170" ht="19.5" customHeight="1" spans="1:9">
      <c r="A170" s="20" t="str">
        <f>'Test Cases'!A170</f>
        <v>TC_0169</v>
      </c>
      <c r="B170" s="20" t="str">
        <f>'Test Cases'!B170</f>
        <v>TS_007</v>
      </c>
      <c r="C170" s="20" t="str">
        <f>'Test Cases'!D170</f>
        <v>Product Display Page</v>
      </c>
      <c r="D170" s="20" t="str">
        <f>'Test Cases'!J170</f>
        <v>P1</v>
      </c>
      <c r="E170" s="20" t="str">
        <f>'Test Cases'!L170</f>
        <v>Not Run</v>
      </c>
      <c r="F170" s="20">
        <f>'Test Cases'!O170</f>
        <v>0</v>
      </c>
      <c r="G170" s="20">
        <f>'Test Cases'!P170</f>
        <v>0</v>
      </c>
      <c r="H170" s="20">
        <f>'Test Cases'!N170</f>
        <v>0</v>
      </c>
      <c r="I170" s="11"/>
    </row>
    <row r="171" ht="19.5" customHeight="1" spans="1:9">
      <c r="A171" s="20" t="str">
        <f>'Test Cases'!A171</f>
        <v>TC_0170</v>
      </c>
      <c r="B171" s="20" t="str">
        <f>'Test Cases'!B171</f>
        <v>TS_008</v>
      </c>
      <c r="C171" s="20" t="str">
        <f>'Test Cases'!D171</f>
        <v>Add to Cart</v>
      </c>
      <c r="D171" s="20" t="str">
        <f>'Test Cases'!J171</f>
        <v>P1</v>
      </c>
      <c r="E171" s="20" t="str">
        <f>'Test Cases'!L171</f>
        <v>Not Run</v>
      </c>
      <c r="F171" s="20">
        <f>'Test Cases'!O171</f>
        <v>0</v>
      </c>
      <c r="G171" s="20">
        <f>'Test Cases'!P171</f>
        <v>0</v>
      </c>
      <c r="H171" s="20">
        <f>'Test Cases'!N171</f>
        <v>0</v>
      </c>
      <c r="I171" s="11"/>
    </row>
    <row r="172" ht="19.5" customHeight="1" spans="1:9">
      <c r="A172" s="20" t="str">
        <f>'Test Cases'!A172</f>
        <v>TC_0171</v>
      </c>
      <c r="B172" s="20" t="str">
        <f>'Test Cases'!B172</f>
        <v>TS_008</v>
      </c>
      <c r="C172" s="20" t="str">
        <f>'Test Cases'!D172</f>
        <v>Add to Cart</v>
      </c>
      <c r="D172" s="20" t="str">
        <f>'Test Cases'!J172</f>
        <v>P1</v>
      </c>
      <c r="E172" s="20" t="str">
        <f>'Test Cases'!L172</f>
        <v>Not Run</v>
      </c>
      <c r="F172" s="20">
        <f>'Test Cases'!O172</f>
        <v>0</v>
      </c>
      <c r="G172" s="20">
        <f>'Test Cases'!P172</f>
        <v>0</v>
      </c>
      <c r="H172" s="20">
        <f>'Test Cases'!N172</f>
        <v>0</v>
      </c>
      <c r="I172" s="11"/>
    </row>
    <row r="173" ht="19.5" customHeight="1" spans="1:9">
      <c r="A173" s="20" t="str">
        <f>'Test Cases'!A173</f>
        <v>TC_0172</v>
      </c>
      <c r="B173" s="20" t="str">
        <f>'Test Cases'!B173</f>
        <v>TS_008</v>
      </c>
      <c r="C173" s="20" t="str">
        <f>'Test Cases'!D173</f>
        <v>Add to Cart</v>
      </c>
      <c r="D173" s="20" t="str">
        <f>'Test Cases'!J173</f>
        <v>P1</v>
      </c>
      <c r="E173" s="20" t="str">
        <f>'Test Cases'!L173</f>
        <v>Not Run</v>
      </c>
      <c r="F173" s="20">
        <f>'Test Cases'!O173</f>
        <v>0</v>
      </c>
      <c r="G173" s="20">
        <f>'Test Cases'!P173</f>
        <v>0</v>
      </c>
      <c r="H173" s="20">
        <f>'Test Cases'!N173</f>
        <v>0</v>
      </c>
      <c r="I173" s="11"/>
    </row>
    <row r="174" ht="19.5" customHeight="1" spans="1:9">
      <c r="A174" s="20" t="str">
        <f>'Test Cases'!A174</f>
        <v>TC_0173</v>
      </c>
      <c r="B174" s="20" t="str">
        <f>'Test Cases'!B174</f>
        <v>TS_008</v>
      </c>
      <c r="C174" s="20" t="str">
        <f>'Test Cases'!D174</f>
        <v>Add to Cart</v>
      </c>
      <c r="D174" s="20" t="str">
        <f>'Test Cases'!J174</f>
        <v>P1</v>
      </c>
      <c r="E174" s="20" t="str">
        <f>'Test Cases'!L174</f>
        <v>Not Run</v>
      </c>
      <c r="F174" s="20">
        <f>'Test Cases'!O174</f>
        <v>0</v>
      </c>
      <c r="G174" s="20">
        <f>'Test Cases'!P174</f>
        <v>0</v>
      </c>
      <c r="H174" s="20">
        <f>'Test Cases'!N174</f>
        <v>0</v>
      </c>
      <c r="I174" s="11"/>
    </row>
    <row r="175" ht="19.5" customHeight="1" spans="1:9">
      <c r="A175" s="20" t="str">
        <f>'Test Cases'!A175</f>
        <v>TC_0174</v>
      </c>
      <c r="B175" s="20" t="str">
        <f>'Test Cases'!B175</f>
        <v>TS_008</v>
      </c>
      <c r="C175" s="20" t="str">
        <f>'Test Cases'!D175</f>
        <v>Add to Cart</v>
      </c>
      <c r="D175" s="20" t="str">
        <f>'Test Cases'!J175</f>
        <v>P1</v>
      </c>
      <c r="E175" s="20" t="str">
        <f>'Test Cases'!L175</f>
        <v>Not Run</v>
      </c>
      <c r="F175" s="20">
        <f>'Test Cases'!O175</f>
        <v>0</v>
      </c>
      <c r="G175" s="20">
        <f>'Test Cases'!P175</f>
        <v>0</v>
      </c>
      <c r="H175" s="20">
        <f>'Test Cases'!N175</f>
        <v>0</v>
      </c>
      <c r="I175" s="11"/>
    </row>
    <row r="176" ht="19.5" customHeight="1" spans="1:9">
      <c r="A176" s="20" t="str">
        <f>'Test Cases'!A176</f>
        <v>TC_0175</v>
      </c>
      <c r="B176" s="20" t="str">
        <f>'Test Cases'!B176</f>
        <v>TS_008</v>
      </c>
      <c r="C176" s="20" t="str">
        <f>'Test Cases'!D176</f>
        <v>Add to Cart</v>
      </c>
      <c r="D176" s="20" t="str">
        <f>'Test Cases'!J176</f>
        <v>P1</v>
      </c>
      <c r="E176" s="20" t="str">
        <f>'Test Cases'!L176</f>
        <v>Not Run</v>
      </c>
      <c r="F176" s="20">
        <f>'Test Cases'!O176</f>
        <v>0</v>
      </c>
      <c r="G176" s="20">
        <f>'Test Cases'!P176</f>
        <v>0</v>
      </c>
      <c r="H176" s="20">
        <f>'Test Cases'!N176</f>
        <v>0</v>
      </c>
      <c r="I176" s="11"/>
    </row>
    <row r="177" ht="19.5" customHeight="1" spans="1:9">
      <c r="A177" s="20" t="str">
        <f>'Test Cases'!A177</f>
        <v>TC_0176</v>
      </c>
      <c r="B177" s="20" t="str">
        <f>'Test Cases'!B177</f>
        <v>TS_008</v>
      </c>
      <c r="C177" s="20" t="str">
        <f>'Test Cases'!D177</f>
        <v>Add to Cart</v>
      </c>
      <c r="D177" s="20" t="str">
        <f>'Test Cases'!J177</f>
        <v>P1</v>
      </c>
      <c r="E177" s="20" t="str">
        <f>'Test Cases'!L177</f>
        <v>Not Run</v>
      </c>
      <c r="F177" s="20">
        <f>'Test Cases'!O177</f>
        <v>0</v>
      </c>
      <c r="G177" s="20">
        <f>'Test Cases'!P177</f>
        <v>0</v>
      </c>
      <c r="H177" s="20">
        <f>'Test Cases'!N177</f>
        <v>0</v>
      </c>
      <c r="I177" s="11"/>
    </row>
    <row r="178" ht="19.5" customHeight="1" spans="1:9">
      <c r="A178" s="20" t="str">
        <f>'Test Cases'!A178</f>
        <v>TC_0177</v>
      </c>
      <c r="B178" s="20" t="str">
        <f>'Test Cases'!B178</f>
        <v>TS_008</v>
      </c>
      <c r="C178" s="20" t="str">
        <f>'Test Cases'!D178</f>
        <v>Add to Cart</v>
      </c>
      <c r="D178" s="20" t="str">
        <f>'Test Cases'!J178</f>
        <v>P1</v>
      </c>
      <c r="E178" s="20" t="str">
        <f>'Test Cases'!L178</f>
        <v>Not Run</v>
      </c>
      <c r="F178" s="20">
        <f>'Test Cases'!O178</f>
        <v>0</v>
      </c>
      <c r="G178" s="20">
        <f>'Test Cases'!P178</f>
        <v>0</v>
      </c>
      <c r="H178" s="20">
        <f>'Test Cases'!N178</f>
        <v>0</v>
      </c>
      <c r="I178" s="11"/>
    </row>
    <row r="179" ht="19.5" customHeight="1" spans="1:9">
      <c r="A179" s="20" t="str">
        <f>'Test Cases'!A179</f>
        <v>TC_0178</v>
      </c>
      <c r="B179" s="20" t="str">
        <f>'Test Cases'!B179</f>
        <v>TS_008</v>
      </c>
      <c r="C179" s="20" t="str">
        <f>'Test Cases'!D179</f>
        <v>Add to Cart</v>
      </c>
      <c r="D179" s="20" t="str">
        <f>'Test Cases'!J179</f>
        <v>P1</v>
      </c>
      <c r="E179" s="20" t="str">
        <f>'Test Cases'!L179</f>
        <v>Not Run</v>
      </c>
      <c r="F179" s="20">
        <f>'Test Cases'!O179</f>
        <v>0</v>
      </c>
      <c r="G179" s="20">
        <f>'Test Cases'!P179</f>
        <v>0</v>
      </c>
      <c r="H179" s="20">
        <f>'Test Cases'!N179</f>
        <v>0</v>
      </c>
      <c r="I179" s="11"/>
    </row>
    <row r="180" ht="19.5" customHeight="1" spans="1:9">
      <c r="A180" s="20" t="str">
        <f>'Test Cases'!A180</f>
        <v>TC_0179</v>
      </c>
      <c r="B180" s="20" t="str">
        <f>'Test Cases'!B180</f>
        <v>TS_009</v>
      </c>
      <c r="C180" s="20" t="str">
        <f>'Test Cases'!D180</f>
        <v>Wish List</v>
      </c>
      <c r="D180" s="20" t="str">
        <f>'Test Cases'!J180</f>
        <v>P4</v>
      </c>
      <c r="E180" s="20" t="str">
        <f>'Test Cases'!L180</f>
        <v>Not Run</v>
      </c>
      <c r="F180" s="20">
        <f>'Test Cases'!O180</f>
        <v>0</v>
      </c>
      <c r="G180" s="20">
        <f>'Test Cases'!P180</f>
        <v>0</v>
      </c>
      <c r="H180" s="20">
        <f>'Test Cases'!N180</f>
        <v>0</v>
      </c>
      <c r="I180" s="11"/>
    </row>
    <row r="181" ht="19.5" customHeight="1" spans="1:9">
      <c r="A181" s="20" t="str">
        <f>'Test Cases'!A181</f>
        <v>TC_0180</v>
      </c>
      <c r="B181" s="20" t="str">
        <f>'Test Cases'!B181</f>
        <v>TS_009</v>
      </c>
      <c r="C181" s="20" t="str">
        <f>'Test Cases'!D181</f>
        <v>Wish List</v>
      </c>
      <c r="D181" s="20" t="str">
        <f>'Test Cases'!J181</f>
        <v>P4</v>
      </c>
      <c r="E181" s="20" t="str">
        <f>'Test Cases'!L181</f>
        <v>Pass</v>
      </c>
      <c r="F181" s="20" t="str">
        <f>'Test Cases'!O181</f>
        <v>Youssef Adel</v>
      </c>
      <c r="G181" s="20" t="str">
        <f>'Test Cases'!P181</f>
        <v>2026-09-18</v>
      </c>
      <c r="H181" s="20">
        <f>'Test Cases'!N181</f>
        <v>0</v>
      </c>
      <c r="I181" s="11"/>
    </row>
    <row r="182" ht="19.5" customHeight="1" spans="1:9">
      <c r="A182" s="20" t="str">
        <f>'Test Cases'!A182</f>
        <v>TC_0181</v>
      </c>
      <c r="B182" s="20" t="str">
        <f>'Test Cases'!B182</f>
        <v>TS_009</v>
      </c>
      <c r="C182" s="20" t="str">
        <f>'Test Cases'!D182</f>
        <v>Wish List</v>
      </c>
      <c r="D182" s="20" t="str">
        <f>'Test Cases'!J182</f>
        <v>P4</v>
      </c>
      <c r="E182" s="20" t="str">
        <f>'Test Cases'!L182</f>
        <v>Not Run</v>
      </c>
      <c r="F182" s="20">
        <f>'Test Cases'!O182</f>
        <v>0</v>
      </c>
      <c r="G182" s="20">
        <f>'Test Cases'!P182</f>
        <v>0</v>
      </c>
      <c r="H182" s="20">
        <f>'Test Cases'!N182</f>
        <v>0</v>
      </c>
      <c r="I182" s="11"/>
    </row>
    <row r="183" ht="19.5" customHeight="1" spans="1:9">
      <c r="A183" s="20" t="str">
        <f>'Test Cases'!A183</f>
        <v>TC_0182</v>
      </c>
      <c r="B183" s="20" t="str">
        <f>'Test Cases'!B183</f>
        <v>TS_009</v>
      </c>
      <c r="C183" s="20" t="str">
        <f>'Test Cases'!D183</f>
        <v>Wish List</v>
      </c>
      <c r="D183" s="20" t="str">
        <f>'Test Cases'!J183</f>
        <v>P4</v>
      </c>
      <c r="E183" s="20" t="str">
        <f>'Test Cases'!L183</f>
        <v>Not Run</v>
      </c>
      <c r="F183" s="20">
        <f>'Test Cases'!O183</f>
        <v>0</v>
      </c>
      <c r="G183" s="20">
        <f>'Test Cases'!P183</f>
        <v>0</v>
      </c>
      <c r="H183" s="20">
        <f>'Test Cases'!N183</f>
        <v>0</v>
      </c>
      <c r="I183" s="11"/>
    </row>
    <row r="184" ht="19.5" customHeight="1" spans="1:9">
      <c r="A184" s="20" t="str">
        <f>'Test Cases'!A184</f>
        <v>TC_0183</v>
      </c>
      <c r="B184" s="20" t="str">
        <f>'Test Cases'!B184</f>
        <v>TS_009</v>
      </c>
      <c r="C184" s="20" t="str">
        <f>'Test Cases'!D184</f>
        <v>Wish List</v>
      </c>
      <c r="D184" s="20" t="str">
        <f>'Test Cases'!J184</f>
        <v>P4</v>
      </c>
      <c r="E184" s="20" t="str">
        <f>'Test Cases'!L184</f>
        <v>Not Run</v>
      </c>
      <c r="F184" s="20">
        <f>'Test Cases'!O184</f>
        <v>0</v>
      </c>
      <c r="G184" s="20">
        <f>'Test Cases'!P184</f>
        <v>0</v>
      </c>
      <c r="H184" s="20">
        <f>'Test Cases'!N184</f>
        <v>0</v>
      </c>
      <c r="I184" s="11"/>
    </row>
    <row r="185" ht="19.5" customHeight="1" spans="1:9">
      <c r="A185" s="20" t="str">
        <f>'Test Cases'!A185</f>
        <v>TC_0184</v>
      </c>
      <c r="B185" s="20" t="str">
        <f>'Test Cases'!B185</f>
        <v>TS_009</v>
      </c>
      <c r="C185" s="20" t="str">
        <f>'Test Cases'!D185</f>
        <v>Wish List</v>
      </c>
      <c r="D185" s="20" t="str">
        <f>'Test Cases'!J185</f>
        <v>P4</v>
      </c>
      <c r="E185" s="20" t="str">
        <f>'Test Cases'!L185</f>
        <v>Not Run</v>
      </c>
      <c r="F185" s="20">
        <f>'Test Cases'!O185</f>
        <v>0</v>
      </c>
      <c r="G185" s="20">
        <f>'Test Cases'!P185</f>
        <v>0</v>
      </c>
      <c r="H185" s="20">
        <f>'Test Cases'!N185</f>
        <v>0</v>
      </c>
      <c r="I185" s="11"/>
    </row>
    <row r="186" ht="19.5" customHeight="1" spans="1:9">
      <c r="A186" s="20" t="str">
        <f>'Test Cases'!A186</f>
        <v>TC_0185</v>
      </c>
      <c r="B186" s="20" t="str">
        <f>'Test Cases'!B186</f>
        <v>TS_009</v>
      </c>
      <c r="C186" s="20" t="str">
        <f>'Test Cases'!D186</f>
        <v>Wish List</v>
      </c>
      <c r="D186" s="20" t="str">
        <f>'Test Cases'!J186</f>
        <v>P4</v>
      </c>
      <c r="E186" s="20" t="str">
        <f>'Test Cases'!L186</f>
        <v>Not Run</v>
      </c>
      <c r="F186" s="20">
        <f>'Test Cases'!O186</f>
        <v>0</v>
      </c>
      <c r="G186" s="20">
        <f>'Test Cases'!P186</f>
        <v>0</v>
      </c>
      <c r="H186" s="20">
        <f>'Test Cases'!N186</f>
        <v>0</v>
      </c>
      <c r="I186" s="11"/>
    </row>
    <row r="187" ht="19.5" customHeight="1" spans="1:9">
      <c r="A187" s="20" t="str">
        <f>'Test Cases'!A187</f>
        <v>TC_0186</v>
      </c>
      <c r="B187" s="20" t="str">
        <f>'Test Cases'!B187</f>
        <v>TS_009</v>
      </c>
      <c r="C187" s="20" t="str">
        <f>'Test Cases'!D187</f>
        <v>Wish List</v>
      </c>
      <c r="D187" s="20" t="str">
        <f>'Test Cases'!J187</f>
        <v>P4</v>
      </c>
      <c r="E187" s="20" t="str">
        <f>'Test Cases'!L187</f>
        <v>Not Run</v>
      </c>
      <c r="F187" s="20">
        <f>'Test Cases'!O187</f>
        <v>0</v>
      </c>
      <c r="G187" s="20">
        <f>'Test Cases'!P187</f>
        <v>0</v>
      </c>
      <c r="H187" s="20">
        <f>'Test Cases'!N187</f>
        <v>0</v>
      </c>
      <c r="I187" s="11"/>
    </row>
    <row r="188" ht="19.5" customHeight="1" spans="1:9">
      <c r="A188" s="20" t="str">
        <f>'Test Cases'!A188</f>
        <v>TC_0187</v>
      </c>
      <c r="B188" s="20" t="str">
        <f>'Test Cases'!B188</f>
        <v>TS_009</v>
      </c>
      <c r="C188" s="20" t="str">
        <f>'Test Cases'!D188</f>
        <v>Wish List</v>
      </c>
      <c r="D188" s="20" t="str">
        <f>'Test Cases'!J188</f>
        <v>P4</v>
      </c>
      <c r="E188" s="20" t="str">
        <f>'Test Cases'!L188</f>
        <v>Not Run</v>
      </c>
      <c r="F188" s="20">
        <f>'Test Cases'!O188</f>
        <v>0</v>
      </c>
      <c r="G188" s="20">
        <f>'Test Cases'!P188</f>
        <v>0</v>
      </c>
      <c r="H188" s="20">
        <f>'Test Cases'!N188</f>
        <v>0</v>
      </c>
      <c r="I188" s="11"/>
    </row>
    <row r="189" ht="19.5" customHeight="1" spans="1:9">
      <c r="A189" s="20" t="str">
        <f>'Test Cases'!A189</f>
        <v>TC_0188</v>
      </c>
      <c r="B189" s="20" t="str">
        <f>'Test Cases'!B189</f>
        <v>TS_009</v>
      </c>
      <c r="C189" s="20" t="str">
        <f>'Test Cases'!D189</f>
        <v>Wish List</v>
      </c>
      <c r="D189" s="20" t="str">
        <f>'Test Cases'!J189</f>
        <v>P4</v>
      </c>
      <c r="E189" s="20" t="str">
        <f>'Test Cases'!L189</f>
        <v>Not Run</v>
      </c>
      <c r="F189" s="20">
        <f>'Test Cases'!O189</f>
        <v>0</v>
      </c>
      <c r="G189" s="20">
        <f>'Test Cases'!P189</f>
        <v>0</v>
      </c>
      <c r="H189" s="20">
        <f>'Test Cases'!N189</f>
        <v>0</v>
      </c>
      <c r="I189" s="11"/>
    </row>
    <row r="190" ht="19.5" customHeight="1" spans="1:9">
      <c r="A190" s="20" t="str">
        <f>'Test Cases'!A190</f>
        <v>TC_0189</v>
      </c>
      <c r="B190" s="20" t="str">
        <f>'Test Cases'!B190</f>
        <v>TS_009</v>
      </c>
      <c r="C190" s="20" t="str">
        <f>'Test Cases'!D190</f>
        <v>Wish List</v>
      </c>
      <c r="D190" s="20" t="str">
        <f>'Test Cases'!J190</f>
        <v>P4</v>
      </c>
      <c r="E190" s="20" t="str">
        <f>'Test Cases'!L190</f>
        <v>Not Run</v>
      </c>
      <c r="F190" s="20">
        <f>'Test Cases'!O190</f>
        <v>0</v>
      </c>
      <c r="G190" s="20">
        <f>'Test Cases'!P190</f>
        <v>0</v>
      </c>
      <c r="H190" s="20">
        <f>'Test Cases'!N190</f>
        <v>0</v>
      </c>
      <c r="I190" s="11"/>
    </row>
    <row r="191" ht="19.5" customHeight="1" spans="1:9">
      <c r="A191" s="20" t="str">
        <f>'Test Cases'!A191</f>
        <v>TC_0190</v>
      </c>
      <c r="B191" s="20" t="str">
        <f>'Test Cases'!B191</f>
        <v>TS_009</v>
      </c>
      <c r="C191" s="20" t="str">
        <f>'Test Cases'!D191</f>
        <v>Wish List</v>
      </c>
      <c r="D191" s="20" t="str">
        <f>'Test Cases'!J191</f>
        <v>P4</v>
      </c>
      <c r="E191" s="20" t="str">
        <f>'Test Cases'!L191</f>
        <v>Not Run</v>
      </c>
      <c r="F191" s="20">
        <f>'Test Cases'!O191</f>
        <v>0</v>
      </c>
      <c r="G191" s="20">
        <f>'Test Cases'!P191</f>
        <v>0</v>
      </c>
      <c r="H191" s="20">
        <f>'Test Cases'!N191</f>
        <v>0</v>
      </c>
      <c r="I191" s="11"/>
    </row>
    <row r="192" ht="19.5" customHeight="1" spans="1:9">
      <c r="A192" s="20" t="str">
        <f>'Test Cases'!A192</f>
        <v>TC_0191</v>
      </c>
      <c r="B192" s="20" t="str">
        <f>'Test Cases'!B192</f>
        <v>TS_009</v>
      </c>
      <c r="C192" s="20" t="str">
        <f>'Test Cases'!D192</f>
        <v>Wish List</v>
      </c>
      <c r="D192" s="20" t="str">
        <f>'Test Cases'!J192</f>
        <v>P4</v>
      </c>
      <c r="E192" s="20" t="str">
        <f>'Test Cases'!L192</f>
        <v>Not Run</v>
      </c>
      <c r="F192" s="20">
        <f>'Test Cases'!O192</f>
        <v>0</v>
      </c>
      <c r="G192" s="20">
        <f>'Test Cases'!P192</f>
        <v>0</v>
      </c>
      <c r="H192" s="20">
        <f>'Test Cases'!N192</f>
        <v>0</v>
      </c>
      <c r="I192" s="11"/>
    </row>
    <row r="193" ht="19.5" customHeight="1" spans="1:9">
      <c r="A193" s="20" t="str">
        <f>'Test Cases'!A193</f>
        <v>TC_0192</v>
      </c>
      <c r="B193" s="20" t="str">
        <f>'Test Cases'!B193</f>
        <v>TS_009</v>
      </c>
      <c r="C193" s="20" t="str">
        <f>'Test Cases'!D193</f>
        <v>Wish List</v>
      </c>
      <c r="D193" s="20" t="str">
        <f>'Test Cases'!J193</f>
        <v>P4</v>
      </c>
      <c r="E193" s="20" t="str">
        <f>'Test Cases'!L193</f>
        <v>Not Run</v>
      </c>
      <c r="F193" s="20">
        <f>'Test Cases'!O193</f>
        <v>0</v>
      </c>
      <c r="G193" s="20">
        <f>'Test Cases'!P193</f>
        <v>0</v>
      </c>
      <c r="H193" s="20">
        <f>'Test Cases'!N193</f>
        <v>0</v>
      </c>
      <c r="I193" s="11"/>
    </row>
    <row r="194" ht="19.5" customHeight="1" spans="1:9">
      <c r="A194" s="20" t="str">
        <f>'Test Cases'!A194</f>
        <v>TC_0193</v>
      </c>
      <c r="B194" s="20" t="str">
        <f>'Test Cases'!B194</f>
        <v>TS_009</v>
      </c>
      <c r="C194" s="20" t="str">
        <f>'Test Cases'!D194</f>
        <v>Wish List</v>
      </c>
      <c r="D194" s="20" t="str">
        <f>'Test Cases'!J194</f>
        <v>P4</v>
      </c>
      <c r="E194" s="20" t="str">
        <f>'Test Cases'!L194</f>
        <v>Not Run</v>
      </c>
      <c r="F194" s="20">
        <f>'Test Cases'!O194</f>
        <v>0</v>
      </c>
      <c r="G194" s="20">
        <f>'Test Cases'!P194</f>
        <v>0</v>
      </c>
      <c r="H194" s="20">
        <f>'Test Cases'!N194</f>
        <v>0</v>
      </c>
      <c r="I194" s="11"/>
    </row>
    <row r="195" ht="19.5" customHeight="1" spans="1:9">
      <c r="A195" s="20" t="str">
        <f>'Test Cases'!A195</f>
        <v>TC_0194</v>
      </c>
      <c r="B195" s="20" t="str">
        <f>'Test Cases'!B195</f>
        <v>TS_009</v>
      </c>
      <c r="C195" s="20" t="str">
        <f>'Test Cases'!D195</f>
        <v>Wish List</v>
      </c>
      <c r="D195" s="20" t="str">
        <f>'Test Cases'!J195</f>
        <v>P4</v>
      </c>
      <c r="E195" s="20" t="str">
        <f>'Test Cases'!L195</f>
        <v>Not Run</v>
      </c>
      <c r="F195" s="20">
        <f>'Test Cases'!O195</f>
        <v>0</v>
      </c>
      <c r="G195" s="20">
        <f>'Test Cases'!P195</f>
        <v>0</v>
      </c>
      <c r="H195" s="20">
        <f>'Test Cases'!N195</f>
        <v>0</v>
      </c>
      <c r="I195" s="11"/>
    </row>
    <row r="196" ht="19.5" customHeight="1" spans="1:9">
      <c r="A196" s="20" t="str">
        <f>'Test Cases'!A196</f>
        <v>TC_0195</v>
      </c>
      <c r="B196" s="20" t="str">
        <f>'Test Cases'!B196</f>
        <v>TS_009</v>
      </c>
      <c r="C196" s="20" t="str">
        <f>'Test Cases'!D196</f>
        <v>Wish List</v>
      </c>
      <c r="D196" s="20" t="str">
        <f>'Test Cases'!J196</f>
        <v>P4</v>
      </c>
      <c r="E196" s="20" t="str">
        <f>'Test Cases'!L196</f>
        <v>Not Run</v>
      </c>
      <c r="F196" s="20">
        <f>'Test Cases'!O196</f>
        <v>0</v>
      </c>
      <c r="G196" s="20">
        <f>'Test Cases'!P196</f>
        <v>0</v>
      </c>
      <c r="H196" s="20">
        <f>'Test Cases'!N196</f>
        <v>0</v>
      </c>
      <c r="I196" s="11"/>
    </row>
    <row r="197" ht="19.5" customHeight="1" spans="1:9">
      <c r="A197" s="20" t="str">
        <f>'Test Cases'!A197</f>
        <v>TC_0196</v>
      </c>
      <c r="B197" s="20" t="str">
        <f>'Test Cases'!B197</f>
        <v>TS_009</v>
      </c>
      <c r="C197" s="20" t="str">
        <f>'Test Cases'!D197</f>
        <v>Wish List</v>
      </c>
      <c r="D197" s="20" t="str">
        <f>'Test Cases'!J197</f>
        <v>P4</v>
      </c>
      <c r="E197" s="20" t="str">
        <f>'Test Cases'!L197</f>
        <v>Not Run</v>
      </c>
      <c r="F197" s="20">
        <f>'Test Cases'!O197</f>
        <v>0</v>
      </c>
      <c r="G197" s="20">
        <f>'Test Cases'!P197</f>
        <v>0</v>
      </c>
      <c r="H197" s="20">
        <f>'Test Cases'!N197</f>
        <v>0</v>
      </c>
      <c r="I197" s="11"/>
    </row>
    <row r="198" ht="19.5" customHeight="1" spans="1:9">
      <c r="A198" s="20" t="str">
        <f>'Test Cases'!A198</f>
        <v>TC_0197</v>
      </c>
      <c r="B198" s="20" t="str">
        <f>'Test Cases'!B198</f>
        <v>TS_009</v>
      </c>
      <c r="C198" s="20" t="str">
        <f>'Test Cases'!D198</f>
        <v>Wish List</v>
      </c>
      <c r="D198" s="20" t="str">
        <f>'Test Cases'!J198</f>
        <v>P4</v>
      </c>
      <c r="E198" s="20" t="str">
        <f>'Test Cases'!L198</f>
        <v>Not Run</v>
      </c>
      <c r="F198" s="20">
        <f>'Test Cases'!O198</f>
        <v>0</v>
      </c>
      <c r="G198" s="20">
        <f>'Test Cases'!P198</f>
        <v>0</v>
      </c>
      <c r="H198" s="20">
        <f>'Test Cases'!N198</f>
        <v>0</v>
      </c>
      <c r="I198" s="11"/>
    </row>
    <row r="199" ht="19.5" customHeight="1" spans="1:9">
      <c r="A199" s="20" t="str">
        <f>'Test Cases'!A199</f>
        <v>TC_0198</v>
      </c>
      <c r="B199" s="20" t="str">
        <f>'Test Cases'!B199</f>
        <v>TS_009</v>
      </c>
      <c r="C199" s="20" t="str">
        <f>'Test Cases'!D199</f>
        <v>Wish List</v>
      </c>
      <c r="D199" s="20" t="str">
        <f>'Test Cases'!J199</f>
        <v>P4</v>
      </c>
      <c r="E199" s="20" t="str">
        <f>'Test Cases'!L199</f>
        <v>Not Run</v>
      </c>
      <c r="F199" s="20">
        <f>'Test Cases'!O199</f>
        <v>0</v>
      </c>
      <c r="G199" s="20">
        <f>'Test Cases'!P199</f>
        <v>0</v>
      </c>
      <c r="H199" s="20">
        <f>'Test Cases'!N199</f>
        <v>0</v>
      </c>
      <c r="I199" s="11"/>
    </row>
    <row r="200" ht="19.5" customHeight="1" spans="1:9">
      <c r="A200" s="20" t="str">
        <f>'Test Cases'!A200</f>
        <v>TC_0199</v>
      </c>
      <c r="B200" s="20" t="str">
        <f>'Test Cases'!B200</f>
        <v>TS_009</v>
      </c>
      <c r="C200" s="20" t="str">
        <f>'Test Cases'!D200</f>
        <v>Wish List</v>
      </c>
      <c r="D200" s="20" t="str">
        <f>'Test Cases'!J200</f>
        <v>P4</v>
      </c>
      <c r="E200" s="20" t="str">
        <f>'Test Cases'!L200</f>
        <v>Not Run</v>
      </c>
      <c r="F200" s="20">
        <f>'Test Cases'!O200</f>
        <v>0</v>
      </c>
      <c r="G200" s="20">
        <f>'Test Cases'!P200</f>
        <v>0</v>
      </c>
      <c r="H200" s="20">
        <f>'Test Cases'!N200</f>
        <v>0</v>
      </c>
      <c r="I200" s="11"/>
    </row>
    <row r="201" ht="19.5" customHeight="1" spans="1:9">
      <c r="A201" s="20" t="str">
        <f>'Test Cases'!A201</f>
        <v>TC_0200</v>
      </c>
      <c r="B201" s="20" t="str">
        <f>'Test Cases'!B201</f>
        <v>TS_010</v>
      </c>
      <c r="C201" s="20" t="str">
        <f>'Test Cases'!D201</f>
        <v>Shopping Cart</v>
      </c>
      <c r="D201" s="20" t="str">
        <f>'Test Cases'!J201</f>
        <v>P1</v>
      </c>
      <c r="E201" s="20" t="str">
        <f>'Test Cases'!L201</f>
        <v>Pass</v>
      </c>
      <c r="F201" s="20" t="str">
        <f>'Test Cases'!O201</f>
        <v>Youssef Adel</v>
      </c>
      <c r="G201" s="20" t="str">
        <f>'Test Cases'!P201</f>
        <v>2026-09-19</v>
      </c>
      <c r="H201" s="20">
        <f>'Test Cases'!N201</f>
        <v>0</v>
      </c>
      <c r="I201" s="11"/>
    </row>
    <row r="202" ht="19.5" customHeight="1" spans="1:9">
      <c r="A202" s="20" t="str">
        <f>'Test Cases'!A202</f>
        <v>TC_0201</v>
      </c>
      <c r="B202" s="20" t="str">
        <f>'Test Cases'!B202</f>
        <v>TS_010</v>
      </c>
      <c r="C202" s="20" t="str">
        <f>'Test Cases'!D202</f>
        <v>Shopping Cart</v>
      </c>
      <c r="D202" s="20" t="str">
        <f>'Test Cases'!J202</f>
        <v>P1</v>
      </c>
      <c r="E202" s="20" t="str">
        <f>'Test Cases'!L202</f>
        <v>Not Run</v>
      </c>
      <c r="F202" s="20">
        <f>'Test Cases'!O202</f>
        <v>0</v>
      </c>
      <c r="G202" s="20">
        <f>'Test Cases'!P202</f>
        <v>0</v>
      </c>
      <c r="H202" s="20">
        <f>'Test Cases'!N202</f>
        <v>0</v>
      </c>
      <c r="I202" s="11"/>
    </row>
    <row r="203" ht="19.5" customHeight="1" spans="1:9">
      <c r="A203" s="20" t="str">
        <f>'Test Cases'!A203</f>
        <v>TC_0202</v>
      </c>
      <c r="B203" s="20" t="str">
        <f>'Test Cases'!B203</f>
        <v>TS_010</v>
      </c>
      <c r="C203" s="20" t="str">
        <f>'Test Cases'!D203</f>
        <v>Shopping Cart</v>
      </c>
      <c r="D203" s="20" t="str">
        <f>'Test Cases'!J203</f>
        <v>P1</v>
      </c>
      <c r="E203" s="20" t="str">
        <f>'Test Cases'!L203</f>
        <v>Not Run</v>
      </c>
      <c r="F203" s="20">
        <f>'Test Cases'!O203</f>
        <v>0</v>
      </c>
      <c r="G203" s="20">
        <f>'Test Cases'!P203</f>
        <v>0</v>
      </c>
      <c r="H203" s="20">
        <f>'Test Cases'!N203</f>
        <v>0</v>
      </c>
      <c r="I203" s="11"/>
    </row>
    <row r="204" ht="19.5" customHeight="1" spans="1:9">
      <c r="A204" s="20" t="str">
        <f>'Test Cases'!A204</f>
        <v>TC_0203</v>
      </c>
      <c r="B204" s="20" t="str">
        <f>'Test Cases'!B204</f>
        <v>TS_010</v>
      </c>
      <c r="C204" s="20" t="str">
        <f>'Test Cases'!D204</f>
        <v>Shopping Cart</v>
      </c>
      <c r="D204" s="20" t="str">
        <f>'Test Cases'!J204</f>
        <v>P1</v>
      </c>
      <c r="E204" s="20" t="str">
        <f>'Test Cases'!L204</f>
        <v>Not Run</v>
      </c>
      <c r="F204" s="20">
        <f>'Test Cases'!O204</f>
        <v>0</v>
      </c>
      <c r="G204" s="20">
        <f>'Test Cases'!P204</f>
        <v>0</v>
      </c>
      <c r="H204" s="20">
        <f>'Test Cases'!N204</f>
        <v>0</v>
      </c>
      <c r="I204" s="11"/>
    </row>
    <row r="205" ht="19.5" customHeight="1" spans="1:9">
      <c r="A205" s="20" t="str">
        <f>'Test Cases'!A205</f>
        <v>TC_0204</v>
      </c>
      <c r="B205" s="20" t="str">
        <f>'Test Cases'!B205</f>
        <v>TS_010</v>
      </c>
      <c r="C205" s="20" t="str">
        <f>'Test Cases'!D205</f>
        <v>Shopping Cart</v>
      </c>
      <c r="D205" s="20" t="str">
        <f>'Test Cases'!J205</f>
        <v>P1</v>
      </c>
      <c r="E205" s="20" t="str">
        <f>'Test Cases'!L205</f>
        <v>Not Run</v>
      </c>
      <c r="F205" s="20">
        <f>'Test Cases'!O205</f>
        <v>0</v>
      </c>
      <c r="G205" s="20">
        <f>'Test Cases'!P205</f>
        <v>0</v>
      </c>
      <c r="H205" s="20">
        <f>'Test Cases'!N205</f>
        <v>0</v>
      </c>
      <c r="I205" s="11"/>
    </row>
    <row r="206" ht="19.5" customHeight="1" spans="1:9">
      <c r="A206" s="20" t="str">
        <f>'Test Cases'!A206</f>
        <v>TC_0205</v>
      </c>
      <c r="B206" s="20" t="str">
        <f>'Test Cases'!B206</f>
        <v>TS_010</v>
      </c>
      <c r="C206" s="20" t="str">
        <f>'Test Cases'!D206</f>
        <v>Shopping Cart</v>
      </c>
      <c r="D206" s="20" t="str">
        <f>'Test Cases'!J206</f>
        <v>P1</v>
      </c>
      <c r="E206" s="20" t="str">
        <f>'Test Cases'!L206</f>
        <v>Not Run</v>
      </c>
      <c r="F206" s="20">
        <f>'Test Cases'!O206</f>
        <v>0</v>
      </c>
      <c r="G206" s="20">
        <f>'Test Cases'!P206</f>
        <v>0</v>
      </c>
      <c r="H206" s="20">
        <f>'Test Cases'!N206</f>
        <v>0</v>
      </c>
      <c r="I206" s="11"/>
    </row>
    <row r="207" ht="19.5" customHeight="1" spans="1:9">
      <c r="A207" s="20" t="str">
        <f>'Test Cases'!A207</f>
        <v>TC_0206</v>
      </c>
      <c r="B207" s="20" t="str">
        <f>'Test Cases'!B207</f>
        <v>TS_010</v>
      </c>
      <c r="C207" s="20" t="str">
        <f>'Test Cases'!D207</f>
        <v>Shopping Cart</v>
      </c>
      <c r="D207" s="20" t="str">
        <f>'Test Cases'!J207</f>
        <v>P1</v>
      </c>
      <c r="E207" s="20" t="str">
        <f>'Test Cases'!L207</f>
        <v>Not Run</v>
      </c>
      <c r="F207" s="20">
        <f>'Test Cases'!O207</f>
        <v>0</v>
      </c>
      <c r="G207" s="20">
        <f>'Test Cases'!P207</f>
        <v>0</v>
      </c>
      <c r="H207" s="20">
        <f>'Test Cases'!N207</f>
        <v>0</v>
      </c>
      <c r="I207" s="11"/>
    </row>
    <row r="208" ht="19.5" customHeight="1" spans="1:9">
      <c r="A208" s="20" t="str">
        <f>'Test Cases'!A208</f>
        <v>TC_0207</v>
      </c>
      <c r="B208" s="20" t="str">
        <f>'Test Cases'!B208</f>
        <v>TS_010</v>
      </c>
      <c r="C208" s="20" t="str">
        <f>'Test Cases'!D208</f>
        <v>Shopping Cart</v>
      </c>
      <c r="D208" s="20" t="str">
        <f>'Test Cases'!J208</f>
        <v>P1</v>
      </c>
      <c r="E208" s="20" t="str">
        <f>'Test Cases'!L208</f>
        <v>Not Run</v>
      </c>
      <c r="F208" s="20">
        <f>'Test Cases'!O208</f>
        <v>0</v>
      </c>
      <c r="G208" s="20">
        <f>'Test Cases'!P208</f>
        <v>0</v>
      </c>
      <c r="H208" s="20">
        <f>'Test Cases'!N208</f>
        <v>0</v>
      </c>
      <c r="I208" s="11"/>
    </row>
    <row r="209" ht="19.5" customHeight="1" spans="1:9">
      <c r="A209" s="20" t="str">
        <f>'Test Cases'!A209</f>
        <v>TC_0208</v>
      </c>
      <c r="B209" s="20" t="str">
        <f>'Test Cases'!B209</f>
        <v>TS_010</v>
      </c>
      <c r="C209" s="20" t="str">
        <f>'Test Cases'!D209</f>
        <v>Shopping Cart</v>
      </c>
      <c r="D209" s="20" t="str">
        <f>'Test Cases'!J209</f>
        <v>P1</v>
      </c>
      <c r="E209" s="20" t="str">
        <f>'Test Cases'!L209</f>
        <v>Not Run</v>
      </c>
      <c r="F209" s="20">
        <f>'Test Cases'!O209</f>
        <v>0</v>
      </c>
      <c r="G209" s="20">
        <f>'Test Cases'!P209</f>
        <v>0</v>
      </c>
      <c r="H209" s="20">
        <f>'Test Cases'!N209</f>
        <v>0</v>
      </c>
      <c r="I209" s="11"/>
    </row>
    <row r="210" ht="19.5" customHeight="1" spans="1:9">
      <c r="A210" s="20" t="str">
        <f>'Test Cases'!A210</f>
        <v>TC_0209</v>
      </c>
      <c r="B210" s="20" t="str">
        <f>'Test Cases'!B210</f>
        <v>TS_010</v>
      </c>
      <c r="C210" s="20" t="str">
        <f>'Test Cases'!D210</f>
        <v>Shopping Cart</v>
      </c>
      <c r="D210" s="20" t="str">
        <f>'Test Cases'!J210</f>
        <v>P1</v>
      </c>
      <c r="E210" s="20" t="str">
        <f>'Test Cases'!L210</f>
        <v>Not Run</v>
      </c>
      <c r="F210" s="20">
        <f>'Test Cases'!O210</f>
        <v>0</v>
      </c>
      <c r="G210" s="20">
        <f>'Test Cases'!P210</f>
        <v>0</v>
      </c>
      <c r="H210" s="20">
        <f>'Test Cases'!N210</f>
        <v>0</v>
      </c>
      <c r="I210" s="11"/>
    </row>
    <row r="211" ht="19.5" customHeight="1" spans="1:9">
      <c r="A211" s="20" t="str">
        <f>'Test Cases'!A211</f>
        <v>TC_0210</v>
      </c>
      <c r="B211" s="20" t="str">
        <f>'Test Cases'!B211</f>
        <v>TS_010</v>
      </c>
      <c r="C211" s="20" t="str">
        <f>'Test Cases'!D211</f>
        <v>Shopping Cart</v>
      </c>
      <c r="D211" s="20" t="str">
        <f>'Test Cases'!J211</f>
        <v>P1</v>
      </c>
      <c r="E211" s="20" t="str">
        <f>'Test Cases'!L211</f>
        <v>Pass</v>
      </c>
      <c r="F211" s="20" t="str">
        <f>'Test Cases'!O211</f>
        <v>Ali Hassan</v>
      </c>
      <c r="G211" s="20" t="str">
        <f>'Test Cases'!P211</f>
        <v>2026-09-19</v>
      </c>
      <c r="H211" s="20">
        <f>'Test Cases'!N211</f>
        <v>0</v>
      </c>
      <c r="I211" s="11"/>
    </row>
    <row r="212" ht="19.5" customHeight="1" spans="1:9">
      <c r="A212" s="20" t="str">
        <f>'Test Cases'!A212</f>
        <v>TC_0211</v>
      </c>
      <c r="B212" s="20" t="str">
        <f>'Test Cases'!B212</f>
        <v>TS_010</v>
      </c>
      <c r="C212" s="20" t="str">
        <f>'Test Cases'!D212</f>
        <v>Shopping Cart</v>
      </c>
      <c r="D212" s="20" t="str">
        <f>'Test Cases'!J212</f>
        <v>P1</v>
      </c>
      <c r="E212" s="20" t="str">
        <f>'Test Cases'!L212</f>
        <v>Not Run</v>
      </c>
      <c r="F212" s="20">
        <f>'Test Cases'!O212</f>
        <v>0</v>
      </c>
      <c r="G212" s="20">
        <f>'Test Cases'!P212</f>
        <v>0</v>
      </c>
      <c r="H212" s="20">
        <f>'Test Cases'!N212</f>
        <v>0</v>
      </c>
      <c r="I212" s="11"/>
    </row>
    <row r="213" ht="19.5" customHeight="1" spans="1:9">
      <c r="A213" s="20" t="str">
        <f>'Test Cases'!A213</f>
        <v>TC_0212</v>
      </c>
      <c r="B213" s="20" t="str">
        <f>'Test Cases'!B213</f>
        <v>TS_010</v>
      </c>
      <c r="C213" s="20" t="str">
        <f>'Test Cases'!D213</f>
        <v>Shopping Cart</v>
      </c>
      <c r="D213" s="20" t="str">
        <f>'Test Cases'!J213</f>
        <v>P1</v>
      </c>
      <c r="E213" s="20" t="str">
        <f>'Test Cases'!L213</f>
        <v>Not Run</v>
      </c>
      <c r="F213" s="20">
        <f>'Test Cases'!O213</f>
        <v>0</v>
      </c>
      <c r="G213" s="20">
        <f>'Test Cases'!P213</f>
        <v>0</v>
      </c>
      <c r="H213" s="20">
        <f>'Test Cases'!N213</f>
        <v>0</v>
      </c>
      <c r="I213" s="11"/>
    </row>
    <row r="214" ht="19.5" customHeight="1" spans="1:9">
      <c r="A214" s="20" t="str">
        <f>'Test Cases'!A214</f>
        <v>TC_0213</v>
      </c>
      <c r="B214" s="20" t="str">
        <f>'Test Cases'!B214</f>
        <v>TS_010</v>
      </c>
      <c r="C214" s="20" t="str">
        <f>'Test Cases'!D214</f>
        <v>Shopping Cart</v>
      </c>
      <c r="D214" s="20" t="str">
        <f>'Test Cases'!J214</f>
        <v>P1</v>
      </c>
      <c r="E214" s="20" t="str">
        <f>'Test Cases'!L214</f>
        <v>Not Run</v>
      </c>
      <c r="F214" s="20">
        <f>'Test Cases'!O214</f>
        <v>0</v>
      </c>
      <c r="G214" s="20">
        <f>'Test Cases'!P214</f>
        <v>0</v>
      </c>
      <c r="H214" s="20">
        <f>'Test Cases'!N214</f>
        <v>0</v>
      </c>
      <c r="I214" s="11"/>
    </row>
    <row r="215" ht="19.5" customHeight="1" spans="1:9">
      <c r="A215" s="20" t="str">
        <f>'Test Cases'!A215</f>
        <v>TC_0214</v>
      </c>
      <c r="B215" s="20" t="str">
        <f>'Test Cases'!B215</f>
        <v>TS_010</v>
      </c>
      <c r="C215" s="20" t="str">
        <f>'Test Cases'!D215</f>
        <v>Shopping Cart</v>
      </c>
      <c r="D215" s="20" t="str">
        <f>'Test Cases'!J215</f>
        <v>P1</v>
      </c>
      <c r="E215" s="20" t="str">
        <f>'Test Cases'!L215</f>
        <v>Not Run</v>
      </c>
      <c r="F215" s="20">
        <f>'Test Cases'!O215</f>
        <v>0</v>
      </c>
      <c r="G215" s="20">
        <f>'Test Cases'!P215</f>
        <v>0</v>
      </c>
      <c r="H215" s="20">
        <f>'Test Cases'!N215</f>
        <v>0</v>
      </c>
      <c r="I215" s="11"/>
    </row>
    <row r="216" ht="19.5" customHeight="1" spans="1:9">
      <c r="A216" s="20" t="str">
        <f>'Test Cases'!A216</f>
        <v>TC_0215</v>
      </c>
      <c r="B216" s="20" t="str">
        <f>'Test Cases'!B216</f>
        <v>TS_010</v>
      </c>
      <c r="C216" s="20" t="str">
        <f>'Test Cases'!D216</f>
        <v>Shopping Cart</v>
      </c>
      <c r="D216" s="20" t="str">
        <f>'Test Cases'!J216</f>
        <v>P1</v>
      </c>
      <c r="E216" s="20" t="str">
        <f>'Test Cases'!L216</f>
        <v>Not Run</v>
      </c>
      <c r="F216" s="20">
        <f>'Test Cases'!O216</f>
        <v>0</v>
      </c>
      <c r="G216" s="20">
        <f>'Test Cases'!P216</f>
        <v>0</v>
      </c>
      <c r="H216" s="20">
        <f>'Test Cases'!N216</f>
        <v>0</v>
      </c>
      <c r="I216" s="11"/>
    </row>
    <row r="217" ht="19.5" customHeight="1" spans="1:9">
      <c r="A217" s="20" t="str">
        <f>'Test Cases'!A217</f>
        <v>TC_0216</v>
      </c>
      <c r="B217" s="20" t="str">
        <f>'Test Cases'!B217</f>
        <v>TS_010</v>
      </c>
      <c r="C217" s="20" t="str">
        <f>'Test Cases'!D217</f>
        <v>Shopping Cart</v>
      </c>
      <c r="D217" s="20" t="str">
        <f>'Test Cases'!J217</f>
        <v>P1</v>
      </c>
      <c r="E217" s="20" t="str">
        <f>'Test Cases'!L217</f>
        <v>Not Run</v>
      </c>
      <c r="F217" s="20">
        <f>'Test Cases'!O217</f>
        <v>0</v>
      </c>
      <c r="G217" s="20">
        <f>'Test Cases'!P217</f>
        <v>0</v>
      </c>
      <c r="H217" s="20">
        <f>'Test Cases'!N217</f>
        <v>0</v>
      </c>
      <c r="I217" s="11"/>
    </row>
    <row r="218" ht="19.5" customHeight="1" spans="1:9">
      <c r="A218" s="20" t="str">
        <f>'Test Cases'!A218</f>
        <v>TC_0217</v>
      </c>
      <c r="B218" s="20" t="str">
        <f>'Test Cases'!B218</f>
        <v>TS_010</v>
      </c>
      <c r="C218" s="20" t="str">
        <f>'Test Cases'!D218</f>
        <v>Shopping Cart</v>
      </c>
      <c r="D218" s="20" t="str">
        <f>'Test Cases'!J218</f>
        <v>P1</v>
      </c>
      <c r="E218" s="20" t="str">
        <f>'Test Cases'!L218</f>
        <v>Not Run</v>
      </c>
      <c r="F218" s="20">
        <f>'Test Cases'!O218</f>
        <v>0</v>
      </c>
      <c r="G218" s="20">
        <f>'Test Cases'!P218</f>
        <v>0</v>
      </c>
      <c r="H218" s="20">
        <f>'Test Cases'!N218</f>
        <v>0</v>
      </c>
      <c r="I218" s="11"/>
    </row>
    <row r="219" ht="19.5" customHeight="1" spans="1:9">
      <c r="A219" s="20" t="str">
        <f>'Test Cases'!A219</f>
        <v>TC_0218</v>
      </c>
      <c r="B219" s="20" t="str">
        <f>'Test Cases'!B219</f>
        <v>TS_010</v>
      </c>
      <c r="C219" s="20" t="str">
        <f>'Test Cases'!D219</f>
        <v>Shopping Cart</v>
      </c>
      <c r="D219" s="20" t="str">
        <f>'Test Cases'!J219</f>
        <v>P1</v>
      </c>
      <c r="E219" s="20" t="str">
        <f>'Test Cases'!L219</f>
        <v>Not Run</v>
      </c>
      <c r="F219" s="20">
        <f>'Test Cases'!O219</f>
        <v>0</v>
      </c>
      <c r="G219" s="20">
        <f>'Test Cases'!P219</f>
        <v>0</v>
      </c>
      <c r="H219" s="20">
        <f>'Test Cases'!N219</f>
        <v>0</v>
      </c>
      <c r="I219" s="11"/>
    </row>
    <row r="220" ht="19.5" customHeight="1" spans="1:9">
      <c r="A220" s="20" t="str">
        <f>'Test Cases'!A220</f>
        <v>TC_0219</v>
      </c>
      <c r="B220" s="20" t="str">
        <f>'Test Cases'!B220</f>
        <v>TS_010</v>
      </c>
      <c r="C220" s="20" t="str">
        <f>'Test Cases'!D220</f>
        <v>Shopping Cart</v>
      </c>
      <c r="D220" s="20" t="str">
        <f>'Test Cases'!J220</f>
        <v>P1</v>
      </c>
      <c r="E220" s="20" t="str">
        <f>'Test Cases'!L220</f>
        <v>Not Run</v>
      </c>
      <c r="F220" s="20">
        <f>'Test Cases'!O220</f>
        <v>0</v>
      </c>
      <c r="G220" s="20">
        <f>'Test Cases'!P220</f>
        <v>0</v>
      </c>
      <c r="H220" s="20">
        <f>'Test Cases'!N220</f>
        <v>0</v>
      </c>
      <c r="I220" s="11"/>
    </row>
    <row r="221" ht="19.5" customHeight="1" spans="1:9">
      <c r="A221" s="20" t="str">
        <f>'Test Cases'!A221</f>
        <v>TC_0220</v>
      </c>
      <c r="B221" s="20" t="str">
        <f>'Test Cases'!B221</f>
        <v>TS_010</v>
      </c>
      <c r="C221" s="20" t="str">
        <f>'Test Cases'!D221</f>
        <v>Shopping Cart</v>
      </c>
      <c r="D221" s="20" t="str">
        <f>'Test Cases'!J221</f>
        <v>P1</v>
      </c>
      <c r="E221" s="20" t="str">
        <f>'Test Cases'!L221</f>
        <v>Not Run</v>
      </c>
      <c r="F221" s="20">
        <f>'Test Cases'!O221</f>
        <v>0</v>
      </c>
      <c r="G221" s="20">
        <f>'Test Cases'!P221</f>
        <v>0</v>
      </c>
      <c r="H221" s="20">
        <f>'Test Cases'!N221</f>
        <v>0</v>
      </c>
      <c r="I221" s="11"/>
    </row>
    <row r="222" ht="19.5" customHeight="1" spans="1:9">
      <c r="A222" s="20" t="str">
        <f>'Test Cases'!A222</f>
        <v>TC_0221</v>
      </c>
      <c r="B222" s="20" t="str">
        <f>'Test Cases'!B222</f>
        <v>TS_010</v>
      </c>
      <c r="C222" s="20" t="str">
        <f>'Test Cases'!D222</f>
        <v>Shopping Cart</v>
      </c>
      <c r="D222" s="20" t="str">
        <f>'Test Cases'!J222</f>
        <v>P1</v>
      </c>
      <c r="E222" s="20" t="str">
        <f>'Test Cases'!L222</f>
        <v>Not Run</v>
      </c>
      <c r="F222" s="20">
        <f>'Test Cases'!O222</f>
        <v>0</v>
      </c>
      <c r="G222" s="20">
        <f>'Test Cases'!P222</f>
        <v>0</v>
      </c>
      <c r="H222" s="20">
        <f>'Test Cases'!N222</f>
        <v>0</v>
      </c>
      <c r="I222" s="11"/>
    </row>
    <row r="223" ht="19.5" customHeight="1" spans="1:9">
      <c r="A223" s="20" t="str">
        <f>'Test Cases'!A223</f>
        <v>TC_0222</v>
      </c>
      <c r="B223" s="20" t="str">
        <f>'Test Cases'!B223</f>
        <v>TS_010</v>
      </c>
      <c r="C223" s="20" t="str">
        <f>'Test Cases'!D223</f>
        <v>Shopping Cart</v>
      </c>
      <c r="D223" s="20" t="str">
        <f>'Test Cases'!J223</f>
        <v>P1</v>
      </c>
      <c r="E223" s="20" t="str">
        <f>'Test Cases'!L223</f>
        <v>Not Run</v>
      </c>
      <c r="F223" s="20">
        <f>'Test Cases'!O223</f>
        <v>0</v>
      </c>
      <c r="G223" s="20">
        <f>'Test Cases'!P223</f>
        <v>0</v>
      </c>
      <c r="H223" s="20">
        <f>'Test Cases'!N223</f>
        <v>0</v>
      </c>
      <c r="I223" s="11"/>
    </row>
    <row r="224" ht="19.5" customHeight="1" spans="1:9">
      <c r="A224" s="20" t="str">
        <f>'Test Cases'!A224</f>
        <v>TC_0223</v>
      </c>
      <c r="B224" s="20" t="str">
        <f>'Test Cases'!B224</f>
        <v>TS_010</v>
      </c>
      <c r="C224" s="20" t="str">
        <f>'Test Cases'!D224</f>
        <v>Shopping Cart</v>
      </c>
      <c r="D224" s="20" t="str">
        <f>'Test Cases'!J224</f>
        <v>P1</v>
      </c>
      <c r="E224" s="20" t="str">
        <f>'Test Cases'!L224</f>
        <v>Not Run</v>
      </c>
      <c r="F224" s="20">
        <f>'Test Cases'!O224</f>
        <v>0</v>
      </c>
      <c r="G224" s="20">
        <f>'Test Cases'!P224</f>
        <v>0</v>
      </c>
      <c r="H224" s="20">
        <f>'Test Cases'!N224</f>
        <v>0</v>
      </c>
      <c r="I224" s="11"/>
    </row>
    <row r="225" ht="19.5" customHeight="1" spans="1:9">
      <c r="A225" s="20" t="str">
        <f>'Test Cases'!A225</f>
        <v>TC_0224</v>
      </c>
      <c r="B225" s="20" t="str">
        <f>'Test Cases'!B225</f>
        <v>TS_010</v>
      </c>
      <c r="C225" s="20" t="str">
        <f>'Test Cases'!D225</f>
        <v>Shopping Cart</v>
      </c>
      <c r="D225" s="20" t="str">
        <f>'Test Cases'!J225</f>
        <v>P1</v>
      </c>
      <c r="E225" s="20" t="str">
        <f>'Test Cases'!L225</f>
        <v>Not Run</v>
      </c>
      <c r="F225" s="20">
        <f>'Test Cases'!O225</f>
        <v>0</v>
      </c>
      <c r="G225" s="20">
        <f>'Test Cases'!P225</f>
        <v>0</v>
      </c>
      <c r="H225" s="20">
        <f>'Test Cases'!N225</f>
        <v>0</v>
      </c>
      <c r="I225" s="11"/>
    </row>
    <row r="226" ht="19.5" customHeight="1" spans="1:9">
      <c r="A226" s="20" t="str">
        <f>'Test Cases'!A226</f>
        <v>TC_0225</v>
      </c>
      <c r="B226" s="20" t="str">
        <f>'Test Cases'!B226</f>
        <v>TS_010</v>
      </c>
      <c r="C226" s="20" t="str">
        <f>'Test Cases'!D226</f>
        <v>Shopping Cart</v>
      </c>
      <c r="D226" s="20" t="str">
        <f>'Test Cases'!J226</f>
        <v>P1</v>
      </c>
      <c r="E226" s="20" t="str">
        <f>'Test Cases'!L226</f>
        <v>Fail</v>
      </c>
      <c r="F226" s="20" t="str">
        <f>'Test Cases'!O226</f>
        <v>Mona Fathy</v>
      </c>
      <c r="G226" s="20" t="str">
        <f>'Test Cases'!P226</f>
        <v>2026-09-19</v>
      </c>
      <c r="H226" s="20" t="str">
        <f>'Test Cases'!N226</f>
        <v>BUG_004</v>
      </c>
      <c r="I226" s="11"/>
    </row>
    <row r="227" ht="19.5" customHeight="1" spans="1:9">
      <c r="A227" s="20" t="str">
        <f>'Test Cases'!A227</f>
        <v>TC_0226</v>
      </c>
      <c r="B227" s="20" t="str">
        <f>'Test Cases'!B227</f>
        <v>TS_010</v>
      </c>
      <c r="C227" s="20" t="str">
        <f>'Test Cases'!D227</f>
        <v>Shopping Cart</v>
      </c>
      <c r="D227" s="20" t="str">
        <f>'Test Cases'!J227</f>
        <v>P1</v>
      </c>
      <c r="E227" s="20" t="str">
        <f>'Test Cases'!L227</f>
        <v>Not Run</v>
      </c>
      <c r="F227" s="20">
        <f>'Test Cases'!O227</f>
        <v>0</v>
      </c>
      <c r="G227" s="20">
        <f>'Test Cases'!P227</f>
        <v>0</v>
      </c>
      <c r="H227" s="20">
        <f>'Test Cases'!N227</f>
        <v>0</v>
      </c>
      <c r="I227" s="11"/>
    </row>
    <row r="228" ht="19.5" customHeight="1" spans="1:9">
      <c r="A228" s="20" t="str">
        <f>'Test Cases'!A228</f>
        <v>TC_0227</v>
      </c>
      <c r="B228" s="20" t="str">
        <f>'Test Cases'!B228</f>
        <v>TS_010</v>
      </c>
      <c r="C228" s="20" t="str">
        <f>'Test Cases'!D228</f>
        <v>Shopping Cart</v>
      </c>
      <c r="D228" s="20" t="str">
        <f>'Test Cases'!J228</f>
        <v>P1</v>
      </c>
      <c r="E228" s="20" t="str">
        <f>'Test Cases'!L228</f>
        <v>Not Run</v>
      </c>
      <c r="F228" s="20">
        <f>'Test Cases'!O228</f>
        <v>0</v>
      </c>
      <c r="G228" s="20">
        <f>'Test Cases'!P228</f>
        <v>0</v>
      </c>
      <c r="H228" s="20">
        <f>'Test Cases'!N228</f>
        <v>0</v>
      </c>
      <c r="I228" s="11"/>
    </row>
    <row r="229" ht="19.5" customHeight="1" spans="1:9">
      <c r="A229" s="20" t="str">
        <f>'Test Cases'!A229</f>
        <v>TC_0228</v>
      </c>
      <c r="B229" s="20" t="str">
        <f>'Test Cases'!B229</f>
        <v>TS_010</v>
      </c>
      <c r="C229" s="20" t="str">
        <f>'Test Cases'!D229</f>
        <v>Shopping Cart</v>
      </c>
      <c r="D229" s="20" t="str">
        <f>'Test Cases'!J229</f>
        <v>P1</v>
      </c>
      <c r="E229" s="20" t="str">
        <f>'Test Cases'!L229</f>
        <v>Not Run</v>
      </c>
      <c r="F229" s="20">
        <f>'Test Cases'!O229</f>
        <v>0</v>
      </c>
      <c r="G229" s="20">
        <f>'Test Cases'!P229</f>
        <v>0</v>
      </c>
      <c r="H229" s="20">
        <f>'Test Cases'!N229</f>
        <v>0</v>
      </c>
      <c r="I229" s="11"/>
    </row>
    <row r="230" ht="19.5" customHeight="1" spans="1:9">
      <c r="A230" s="20" t="str">
        <f>'Test Cases'!A230</f>
        <v>TC_0229</v>
      </c>
      <c r="B230" s="20" t="str">
        <f>'Test Cases'!B230</f>
        <v>TS_010</v>
      </c>
      <c r="C230" s="20" t="str">
        <f>'Test Cases'!D230</f>
        <v>Shopping Cart</v>
      </c>
      <c r="D230" s="20" t="str">
        <f>'Test Cases'!J230</f>
        <v>P1</v>
      </c>
      <c r="E230" s="20" t="str">
        <f>'Test Cases'!L230</f>
        <v>Not Run</v>
      </c>
      <c r="F230" s="20">
        <f>'Test Cases'!O230</f>
        <v>0</v>
      </c>
      <c r="G230" s="20">
        <f>'Test Cases'!P230</f>
        <v>0</v>
      </c>
      <c r="H230" s="20">
        <f>'Test Cases'!N230</f>
        <v>0</v>
      </c>
      <c r="I230" s="11"/>
    </row>
    <row r="231" ht="19.5" customHeight="1" spans="1:9">
      <c r="A231" s="20" t="str">
        <f>'Test Cases'!A231</f>
        <v>TC_0230</v>
      </c>
      <c r="B231" s="20" t="str">
        <f>'Test Cases'!B231</f>
        <v>TS_010</v>
      </c>
      <c r="C231" s="20" t="str">
        <f>'Test Cases'!D231</f>
        <v>Shopping Cart</v>
      </c>
      <c r="D231" s="20" t="str">
        <f>'Test Cases'!J231</f>
        <v>P1</v>
      </c>
      <c r="E231" s="20" t="str">
        <f>'Test Cases'!L231</f>
        <v>Pass</v>
      </c>
      <c r="F231" s="20" t="str">
        <f>'Test Cases'!O231</f>
        <v>Youssef Adel</v>
      </c>
      <c r="G231" s="20" t="str">
        <f>'Test Cases'!P231</f>
        <v>2026-09-19</v>
      </c>
      <c r="H231" s="20">
        <f>'Test Cases'!N231</f>
        <v>0</v>
      </c>
      <c r="I231" s="11"/>
    </row>
    <row r="232" ht="19.5" customHeight="1" spans="1:9">
      <c r="A232" s="20" t="str">
        <f>'Test Cases'!A232</f>
        <v>TC_0231</v>
      </c>
      <c r="B232" s="20" t="str">
        <f>'Test Cases'!B232</f>
        <v>TS_010</v>
      </c>
      <c r="C232" s="20" t="str">
        <f>'Test Cases'!D232</f>
        <v>Shopping Cart</v>
      </c>
      <c r="D232" s="20" t="str">
        <f>'Test Cases'!J232</f>
        <v>P1</v>
      </c>
      <c r="E232" s="20" t="str">
        <f>'Test Cases'!L232</f>
        <v>Not Run</v>
      </c>
      <c r="F232" s="20">
        <f>'Test Cases'!O232</f>
        <v>0</v>
      </c>
      <c r="G232" s="20">
        <f>'Test Cases'!P232</f>
        <v>0</v>
      </c>
      <c r="H232" s="20">
        <f>'Test Cases'!N232</f>
        <v>0</v>
      </c>
      <c r="I232" s="11"/>
    </row>
    <row r="233" ht="19.5" customHeight="1" spans="1:9">
      <c r="A233" s="20" t="str">
        <f>'Test Cases'!A233</f>
        <v>TC_0232</v>
      </c>
      <c r="B233" s="20" t="str">
        <f>'Test Cases'!B233</f>
        <v>TS_010</v>
      </c>
      <c r="C233" s="20" t="str">
        <f>'Test Cases'!D233</f>
        <v>Shopping Cart</v>
      </c>
      <c r="D233" s="20" t="str">
        <f>'Test Cases'!J233</f>
        <v>P1</v>
      </c>
      <c r="E233" s="20" t="str">
        <f>'Test Cases'!L233</f>
        <v>Not Run</v>
      </c>
      <c r="F233" s="20">
        <f>'Test Cases'!O233</f>
        <v>0</v>
      </c>
      <c r="G233" s="20">
        <f>'Test Cases'!P233</f>
        <v>0</v>
      </c>
      <c r="H233" s="20">
        <f>'Test Cases'!N233</f>
        <v>0</v>
      </c>
      <c r="I233" s="11"/>
    </row>
    <row r="234" ht="19.5" customHeight="1" spans="1:9">
      <c r="A234" s="20" t="str">
        <f>'Test Cases'!A234</f>
        <v>TC_0233</v>
      </c>
      <c r="B234" s="20" t="str">
        <f>'Test Cases'!B234</f>
        <v>TS_011</v>
      </c>
      <c r="C234" s="20" t="str">
        <f>'Test Cases'!D234</f>
        <v>Home Page</v>
      </c>
      <c r="D234" s="20" t="str">
        <f>'Test Cases'!J234</f>
        <v>P2</v>
      </c>
      <c r="E234" s="20" t="str">
        <f>'Test Cases'!L234</f>
        <v>Not Run</v>
      </c>
      <c r="F234" s="20">
        <f>'Test Cases'!O234</f>
        <v>0</v>
      </c>
      <c r="G234" s="20">
        <f>'Test Cases'!P234</f>
        <v>0</v>
      </c>
      <c r="H234" s="20">
        <f>'Test Cases'!N234</f>
        <v>0</v>
      </c>
      <c r="I234" s="11"/>
    </row>
    <row r="235" ht="19.5" customHeight="1" spans="1:9">
      <c r="A235" s="20" t="str">
        <f>'Test Cases'!A235</f>
        <v>TC_0234</v>
      </c>
      <c r="B235" s="20" t="str">
        <f>'Test Cases'!B235</f>
        <v>TS_011</v>
      </c>
      <c r="C235" s="20" t="str">
        <f>'Test Cases'!D235</f>
        <v>Home Page</v>
      </c>
      <c r="D235" s="20" t="str">
        <f>'Test Cases'!J235</f>
        <v>P2</v>
      </c>
      <c r="E235" s="20" t="str">
        <f>'Test Cases'!L235</f>
        <v>Not Run</v>
      </c>
      <c r="F235" s="20">
        <f>'Test Cases'!O235</f>
        <v>0</v>
      </c>
      <c r="G235" s="20">
        <f>'Test Cases'!P235</f>
        <v>0</v>
      </c>
      <c r="H235" s="20">
        <f>'Test Cases'!N235</f>
        <v>0</v>
      </c>
      <c r="I235" s="11"/>
    </row>
    <row r="236" ht="19.5" customHeight="1" spans="1:9">
      <c r="A236" s="20" t="str">
        <f>'Test Cases'!A236</f>
        <v>TC_0235</v>
      </c>
      <c r="B236" s="20" t="str">
        <f>'Test Cases'!B236</f>
        <v>TS_011</v>
      </c>
      <c r="C236" s="20" t="str">
        <f>'Test Cases'!D236</f>
        <v>Home Page</v>
      </c>
      <c r="D236" s="20" t="str">
        <f>'Test Cases'!J236</f>
        <v>P2</v>
      </c>
      <c r="E236" s="20" t="str">
        <f>'Test Cases'!L236</f>
        <v>Not Run</v>
      </c>
      <c r="F236" s="20">
        <f>'Test Cases'!O236</f>
        <v>0</v>
      </c>
      <c r="G236" s="20">
        <f>'Test Cases'!P236</f>
        <v>0</v>
      </c>
      <c r="H236" s="20">
        <f>'Test Cases'!N236</f>
        <v>0</v>
      </c>
      <c r="I236" s="11"/>
    </row>
    <row r="237" ht="19.5" customHeight="1" spans="1:9">
      <c r="A237" s="20" t="str">
        <f>'Test Cases'!A237</f>
        <v>TC_0236</v>
      </c>
      <c r="B237" s="20" t="str">
        <f>'Test Cases'!B237</f>
        <v>TS_011</v>
      </c>
      <c r="C237" s="20" t="str">
        <f>'Test Cases'!D237</f>
        <v>Home Page</v>
      </c>
      <c r="D237" s="20" t="str">
        <f>'Test Cases'!J237</f>
        <v>P2</v>
      </c>
      <c r="E237" s="20" t="str">
        <f>'Test Cases'!L237</f>
        <v>Not Run</v>
      </c>
      <c r="F237" s="20">
        <f>'Test Cases'!O237</f>
        <v>0</v>
      </c>
      <c r="G237" s="20">
        <f>'Test Cases'!P237</f>
        <v>0</v>
      </c>
      <c r="H237" s="20">
        <f>'Test Cases'!N237</f>
        <v>0</v>
      </c>
      <c r="I237" s="11"/>
    </row>
    <row r="238" ht="19.5" customHeight="1" spans="1:9">
      <c r="A238" s="20" t="str">
        <f>'Test Cases'!A238</f>
        <v>TC_0237</v>
      </c>
      <c r="B238" s="20" t="str">
        <f>'Test Cases'!B238</f>
        <v>TS_011</v>
      </c>
      <c r="C238" s="20" t="str">
        <f>'Test Cases'!D238</f>
        <v>Home Page</v>
      </c>
      <c r="D238" s="20" t="str">
        <f>'Test Cases'!J238</f>
        <v>P2</v>
      </c>
      <c r="E238" s="20" t="str">
        <f>'Test Cases'!L238</f>
        <v>Not Run</v>
      </c>
      <c r="F238" s="20">
        <f>'Test Cases'!O238</f>
        <v>0</v>
      </c>
      <c r="G238" s="20">
        <f>'Test Cases'!P238</f>
        <v>0</v>
      </c>
      <c r="H238" s="20">
        <f>'Test Cases'!N238</f>
        <v>0</v>
      </c>
      <c r="I238" s="11"/>
    </row>
    <row r="239" ht="19.5" customHeight="1" spans="1:9">
      <c r="A239" s="20" t="str">
        <f>'Test Cases'!A239</f>
        <v>TC_0238</v>
      </c>
      <c r="B239" s="20" t="str">
        <f>'Test Cases'!B239</f>
        <v>TS_011</v>
      </c>
      <c r="C239" s="20" t="str">
        <f>'Test Cases'!D239</f>
        <v>Home Page</v>
      </c>
      <c r="D239" s="20" t="str">
        <f>'Test Cases'!J239</f>
        <v>P2</v>
      </c>
      <c r="E239" s="20" t="str">
        <f>'Test Cases'!L239</f>
        <v>Not Run</v>
      </c>
      <c r="F239" s="20">
        <f>'Test Cases'!O239</f>
        <v>0</v>
      </c>
      <c r="G239" s="20">
        <f>'Test Cases'!P239</f>
        <v>0</v>
      </c>
      <c r="H239" s="20">
        <f>'Test Cases'!N239</f>
        <v>0</v>
      </c>
      <c r="I239" s="11"/>
    </row>
    <row r="240" ht="19.5" customHeight="1" spans="1:9">
      <c r="A240" s="20" t="str">
        <f>'Test Cases'!A240</f>
        <v>TC_0239</v>
      </c>
      <c r="B240" s="20" t="str">
        <f>'Test Cases'!B240</f>
        <v>TS_011</v>
      </c>
      <c r="C240" s="20" t="str">
        <f>'Test Cases'!D240</f>
        <v>Home Page</v>
      </c>
      <c r="D240" s="20" t="str">
        <f>'Test Cases'!J240</f>
        <v>P2</v>
      </c>
      <c r="E240" s="20" t="str">
        <f>'Test Cases'!L240</f>
        <v>Not Run</v>
      </c>
      <c r="F240" s="20">
        <f>'Test Cases'!O240</f>
        <v>0</v>
      </c>
      <c r="G240" s="20">
        <f>'Test Cases'!P240</f>
        <v>0</v>
      </c>
      <c r="H240" s="20">
        <f>'Test Cases'!N240</f>
        <v>0</v>
      </c>
      <c r="I240" s="11"/>
    </row>
    <row r="241" ht="19.5" customHeight="1" spans="1:9">
      <c r="A241" s="20" t="str">
        <f>'Test Cases'!A241</f>
        <v>TC_0240</v>
      </c>
      <c r="B241" s="20" t="str">
        <f>'Test Cases'!B241</f>
        <v>TS_011</v>
      </c>
      <c r="C241" s="20" t="str">
        <f>'Test Cases'!D241</f>
        <v>Home Page</v>
      </c>
      <c r="D241" s="20" t="str">
        <f>'Test Cases'!J241</f>
        <v>P2</v>
      </c>
      <c r="E241" s="20" t="str">
        <f>'Test Cases'!L241</f>
        <v>Not Run</v>
      </c>
      <c r="F241" s="20">
        <f>'Test Cases'!O241</f>
        <v>0</v>
      </c>
      <c r="G241" s="20">
        <f>'Test Cases'!P241</f>
        <v>0</v>
      </c>
      <c r="H241" s="20">
        <f>'Test Cases'!N241</f>
        <v>0</v>
      </c>
      <c r="I241" s="11"/>
    </row>
    <row r="242" ht="19.5" customHeight="1" spans="1:9">
      <c r="A242" s="20" t="str">
        <f>'Test Cases'!A242</f>
        <v>TC_0241</v>
      </c>
      <c r="B242" s="20" t="str">
        <f>'Test Cases'!B242</f>
        <v>TS_011</v>
      </c>
      <c r="C242" s="20" t="str">
        <f>'Test Cases'!D242</f>
        <v>Home Page</v>
      </c>
      <c r="D242" s="20" t="str">
        <f>'Test Cases'!J242</f>
        <v>P2</v>
      </c>
      <c r="E242" s="20" t="str">
        <f>'Test Cases'!L242</f>
        <v>Not Run</v>
      </c>
      <c r="F242" s="20">
        <f>'Test Cases'!O242</f>
        <v>0</v>
      </c>
      <c r="G242" s="20">
        <f>'Test Cases'!P242</f>
        <v>0</v>
      </c>
      <c r="H242" s="20">
        <f>'Test Cases'!N242</f>
        <v>0</v>
      </c>
      <c r="I242" s="11"/>
    </row>
    <row r="243" ht="19.5" customHeight="1" spans="1:9">
      <c r="A243" s="20" t="str">
        <f>'Test Cases'!A243</f>
        <v>TC_0242</v>
      </c>
      <c r="B243" s="20" t="str">
        <f>'Test Cases'!B243</f>
        <v>TS_011</v>
      </c>
      <c r="C243" s="20" t="str">
        <f>'Test Cases'!D243</f>
        <v>Home Page</v>
      </c>
      <c r="D243" s="20" t="str">
        <f>'Test Cases'!J243</f>
        <v>P2</v>
      </c>
      <c r="E243" s="20" t="str">
        <f>'Test Cases'!L243</f>
        <v>Not Run</v>
      </c>
      <c r="F243" s="20">
        <f>'Test Cases'!O243</f>
        <v>0</v>
      </c>
      <c r="G243" s="20">
        <f>'Test Cases'!P243</f>
        <v>0</v>
      </c>
      <c r="H243" s="20">
        <f>'Test Cases'!N243</f>
        <v>0</v>
      </c>
      <c r="I243" s="11"/>
    </row>
    <row r="244" ht="19.5" customHeight="1" spans="1:9">
      <c r="A244" s="20" t="str">
        <f>'Test Cases'!A244</f>
        <v>TC_0243</v>
      </c>
      <c r="B244" s="20" t="str">
        <f>'Test Cases'!B244</f>
        <v>TS_012</v>
      </c>
      <c r="C244" s="20" t="str">
        <f>'Test Cases'!D244</f>
        <v>Checkout</v>
      </c>
      <c r="D244" s="20" t="str">
        <f>'Test Cases'!J244</f>
        <v>P1</v>
      </c>
      <c r="E244" s="20" t="str">
        <f>'Test Cases'!L244</f>
        <v>Not Run</v>
      </c>
      <c r="F244" s="20">
        <f>'Test Cases'!O244</f>
        <v>0</v>
      </c>
      <c r="G244" s="20">
        <f>'Test Cases'!P244</f>
        <v>0</v>
      </c>
      <c r="H244" s="20">
        <f>'Test Cases'!N244</f>
        <v>0</v>
      </c>
      <c r="I244" s="11"/>
    </row>
    <row r="245" ht="19.5" customHeight="1" spans="1:9">
      <c r="A245" s="20" t="str">
        <f>'Test Cases'!A245</f>
        <v>TC_0244</v>
      </c>
      <c r="B245" s="20" t="str">
        <f>'Test Cases'!B245</f>
        <v>TS_012</v>
      </c>
      <c r="C245" s="20" t="str">
        <f>'Test Cases'!D245</f>
        <v>Checkout</v>
      </c>
      <c r="D245" s="20" t="str">
        <f>'Test Cases'!J245</f>
        <v>P1</v>
      </c>
      <c r="E245" s="20" t="str">
        <f>'Test Cases'!L245</f>
        <v>Not Run</v>
      </c>
      <c r="F245" s="20">
        <f>'Test Cases'!O245</f>
        <v>0</v>
      </c>
      <c r="G245" s="20">
        <f>'Test Cases'!P245</f>
        <v>0</v>
      </c>
      <c r="H245" s="20">
        <f>'Test Cases'!N245</f>
        <v>0</v>
      </c>
      <c r="I245" s="11"/>
    </row>
    <row r="246" ht="19.5" customHeight="1" spans="1:9">
      <c r="A246" s="20" t="str">
        <f>'Test Cases'!A246</f>
        <v>TC_0245</v>
      </c>
      <c r="B246" s="20" t="str">
        <f>'Test Cases'!B246</f>
        <v>TS_012</v>
      </c>
      <c r="C246" s="20" t="str">
        <f>'Test Cases'!D246</f>
        <v>Checkout</v>
      </c>
      <c r="D246" s="20" t="str">
        <f>'Test Cases'!J246</f>
        <v>P1</v>
      </c>
      <c r="E246" s="20" t="str">
        <f>'Test Cases'!L246</f>
        <v>Pass</v>
      </c>
      <c r="F246" s="20" t="str">
        <f>'Test Cases'!O246</f>
        <v>Mona Fathy</v>
      </c>
      <c r="G246" s="20" t="str">
        <f>'Test Cases'!P246</f>
        <v>2026-09-19</v>
      </c>
      <c r="H246" s="20">
        <f>'Test Cases'!N246</f>
        <v>0</v>
      </c>
      <c r="I246" s="11"/>
    </row>
    <row r="247" ht="19.5" customHeight="1" spans="1:9">
      <c r="A247" s="20" t="str">
        <f>'Test Cases'!A247</f>
        <v>TC_0246</v>
      </c>
      <c r="B247" s="20" t="str">
        <f>'Test Cases'!B247</f>
        <v>TS_012</v>
      </c>
      <c r="C247" s="20" t="str">
        <f>'Test Cases'!D247</f>
        <v>Checkout</v>
      </c>
      <c r="D247" s="20" t="str">
        <f>'Test Cases'!J247</f>
        <v>P1</v>
      </c>
      <c r="E247" s="20" t="str">
        <f>'Test Cases'!L247</f>
        <v>Not Run</v>
      </c>
      <c r="F247" s="20">
        <f>'Test Cases'!O247</f>
        <v>0</v>
      </c>
      <c r="G247" s="20">
        <f>'Test Cases'!P247</f>
        <v>0</v>
      </c>
      <c r="H247" s="20">
        <f>'Test Cases'!N247</f>
        <v>0</v>
      </c>
      <c r="I247" s="11"/>
    </row>
    <row r="248" ht="19.5" customHeight="1" spans="1:9">
      <c r="A248" s="20" t="str">
        <f>'Test Cases'!A248</f>
        <v>TC_0247</v>
      </c>
      <c r="B248" s="20" t="str">
        <f>'Test Cases'!B248</f>
        <v>TS_012</v>
      </c>
      <c r="C248" s="20" t="str">
        <f>'Test Cases'!D248</f>
        <v>Checkout</v>
      </c>
      <c r="D248" s="20" t="str">
        <f>'Test Cases'!J248</f>
        <v>P1</v>
      </c>
      <c r="E248" s="20" t="str">
        <f>'Test Cases'!L248</f>
        <v>Not Run</v>
      </c>
      <c r="F248" s="20">
        <f>'Test Cases'!O248</f>
        <v>0</v>
      </c>
      <c r="G248" s="20">
        <f>'Test Cases'!P248</f>
        <v>0</v>
      </c>
      <c r="H248" s="20">
        <f>'Test Cases'!N248</f>
        <v>0</v>
      </c>
      <c r="I248" s="11"/>
    </row>
    <row r="249" ht="19.5" customHeight="1" spans="1:9">
      <c r="A249" s="20" t="str">
        <f>'Test Cases'!A249</f>
        <v>TC_0248</v>
      </c>
      <c r="B249" s="20" t="str">
        <f>'Test Cases'!B249</f>
        <v>TS_012</v>
      </c>
      <c r="C249" s="20" t="str">
        <f>'Test Cases'!D249</f>
        <v>Checkout</v>
      </c>
      <c r="D249" s="20" t="str">
        <f>'Test Cases'!J249</f>
        <v>P1</v>
      </c>
      <c r="E249" s="20" t="str">
        <f>'Test Cases'!L249</f>
        <v>Not Run</v>
      </c>
      <c r="F249" s="20">
        <f>'Test Cases'!O249</f>
        <v>0</v>
      </c>
      <c r="G249" s="20">
        <f>'Test Cases'!P249</f>
        <v>0</v>
      </c>
      <c r="H249" s="20">
        <f>'Test Cases'!N249</f>
        <v>0</v>
      </c>
      <c r="I249" s="11"/>
    </row>
    <row r="250" ht="19.5" customHeight="1" spans="1:9">
      <c r="A250" s="20" t="str">
        <f>'Test Cases'!A250</f>
        <v>TC_0249</v>
      </c>
      <c r="B250" s="20" t="str">
        <f>'Test Cases'!B250</f>
        <v>TS_012</v>
      </c>
      <c r="C250" s="20" t="str">
        <f>'Test Cases'!D250</f>
        <v>Checkout</v>
      </c>
      <c r="D250" s="20" t="str">
        <f>'Test Cases'!J250</f>
        <v>P1</v>
      </c>
      <c r="E250" s="20" t="str">
        <f>'Test Cases'!L250</f>
        <v>Not Run</v>
      </c>
      <c r="F250" s="20">
        <f>'Test Cases'!O250</f>
        <v>0</v>
      </c>
      <c r="G250" s="20">
        <f>'Test Cases'!P250</f>
        <v>0</v>
      </c>
      <c r="H250" s="20">
        <f>'Test Cases'!N250</f>
        <v>0</v>
      </c>
      <c r="I250" s="11"/>
    </row>
    <row r="251" ht="19.5" customHeight="1" spans="1:9">
      <c r="A251" s="20" t="str">
        <f>'Test Cases'!A251</f>
        <v>TC_0250</v>
      </c>
      <c r="B251" s="20" t="str">
        <f>'Test Cases'!B251</f>
        <v>TS_012</v>
      </c>
      <c r="C251" s="20" t="str">
        <f>'Test Cases'!D251</f>
        <v>Checkout</v>
      </c>
      <c r="D251" s="20" t="str">
        <f>'Test Cases'!J251</f>
        <v>P1</v>
      </c>
      <c r="E251" s="20" t="str">
        <f>'Test Cases'!L251</f>
        <v>Not Run</v>
      </c>
      <c r="F251" s="20">
        <f>'Test Cases'!O251</f>
        <v>0</v>
      </c>
      <c r="G251" s="20">
        <f>'Test Cases'!P251</f>
        <v>0</v>
      </c>
      <c r="H251" s="20">
        <f>'Test Cases'!N251</f>
        <v>0</v>
      </c>
      <c r="I251" s="11"/>
    </row>
    <row r="252" ht="19.5" customHeight="1" spans="1:9">
      <c r="A252" s="20" t="str">
        <f>'Test Cases'!A252</f>
        <v>TC_0251</v>
      </c>
      <c r="B252" s="20" t="str">
        <f>'Test Cases'!B252</f>
        <v>TS_012</v>
      </c>
      <c r="C252" s="20" t="str">
        <f>'Test Cases'!D252</f>
        <v>Checkout</v>
      </c>
      <c r="D252" s="20" t="str">
        <f>'Test Cases'!J252</f>
        <v>P1</v>
      </c>
      <c r="E252" s="20" t="str">
        <f>'Test Cases'!L252</f>
        <v>Not Run</v>
      </c>
      <c r="F252" s="20">
        <f>'Test Cases'!O252</f>
        <v>0</v>
      </c>
      <c r="G252" s="20">
        <f>'Test Cases'!P252</f>
        <v>0</v>
      </c>
      <c r="H252" s="20">
        <f>'Test Cases'!N252</f>
        <v>0</v>
      </c>
      <c r="I252" s="11"/>
    </row>
    <row r="253" ht="19.5" customHeight="1" spans="1:9">
      <c r="A253" s="20" t="str">
        <f>'Test Cases'!A253</f>
        <v>TC_0252</v>
      </c>
      <c r="B253" s="20" t="str">
        <f>'Test Cases'!B253</f>
        <v>TS_012</v>
      </c>
      <c r="C253" s="20" t="str">
        <f>'Test Cases'!D253</f>
        <v>Checkout</v>
      </c>
      <c r="D253" s="20" t="str">
        <f>'Test Cases'!J253</f>
        <v>P1</v>
      </c>
      <c r="E253" s="20" t="str">
        <f>'Test Cases'!L253</f>
        <v>Pass</v>
      </c>
      <c r="F253" s="20" t="str">
        <f>'Test Cases'!O253</f>
        <v>Mona Fathy</v>
      </c>
      <c r="G253" s="20" t="str">
        <f>'Test Cases'!P253</f>
        <v>2026-09-20</v>
      </c>
      <c r="H253" s="20">
        <f>'Test Cases'!N253</f>
        <v>0</v>
      </c>
      <c r="I253" s="11"/>
    </row>
    <row r="254" ht="19.5" customHeight="1" spans="1:9">
      <c r="A254" s="20" t="str">
        <f>'Test Cases'!A254</f>
        <v>TC_0253</v>
      </c>
      <c r="B254" s="20" t="str">
        <f>'Test Cases'!B254</f>
        <v>TS_012</v>
      </c>
      <c r="C254" s="20" t="str">
        <f>'Test Cases'!D254</f>
        <v>Checkout</v>
      </c>
      <c r="D254" s="20" t="str">
        <f>'Test Cases'!J254</f>
        <v>P1</v>
      </c>
      <c r="E254" s="20" t="str">
        <f>'Test Cases'!L254</f>
        <v>Not Run</v>
      </c>
      <c r="F254" s="20">
        <f>'Test Cases'!O254</f>
        <v>0</v>
      </c>
      <c r="G254" s="20">
        <f>'Test Cases'!P254</f>
        <v>0</v>
      </c>
      <c r="H254" s="20">
        <f>'Test Cases'!N254</f>
        <v>0</v>
      </c>
      <c r="I254" s="11"/>
    </row>
    <row r="255" ht="19.5" customHeight="1" spans="1:9">
      <c r="A255" s="20" t="str">
        <f>'Test Cases'!A255</f>
        <v>TC_0254</v>
      </c>
      <c r="B255" s="20" t="str">
        <f>'Test Cases'!B255</f>
        <v>TS_012</v>
      </c>
      <c r="C255" s="20" t="str">
        <f>'Test Cases'!D255</f>
        <v>Checkout</v>
      </c>
      <c r="D255" s="20" t="str">
        <f>'Test Cases'!J255</f>
        <v>P1</v>
      </c>
      <c r="E255" s="20" t="str">
        <f>'Test Cases'!L255</f>
        <v>Not Run</v>
      </c>
      <c r="F255" s="20">
        <f>'Test Cases'!O255</f>
        <v>0</v>
      </c>
      <c r="G255" s="20">
        <f>'Test Cases'!P255</f>
        <v>0</v>
      </c>
      <c r="H255" s="20">
        <f>'Test Cases'!N255</f>
        <v>0</v>
      </c>
      <c r="I255" s="11"/>
    </row>
    <row r="256" ht="19.5" customHeight="1" spans="1:9">
      <c r="A256" s="20" t="str">
        <f>'Test Cases'!A256</f>
        <v>TC_0255</v>
      </c>
      <c r="B256" s="20" t="str">
        <f>'Test Cases'!B256</f>
        <v>TS_012</v>
      </c>
      <c r="C256" s="20" t="str">
        <f>'Test Cases'!D256</f>
        <v>Checkout</v>
      </c>
      <c r="D256" s="20" t="str">
        <f>'Test Cases'!J256</f>
        <v>P1</v>
      </c>
      <c r="E256" s="20" t="str">
        <f>'Test Cases'!L256</f>
        <v>Not Run</v>
      </c>
      <c r="F256" s="20">
        <f>'Test Cases'!O256</f>
        <v>0</v>
      </c>
      <c r="G256" s="20">
        <f>'Test Cases'!P256</f>
        <v>0</v>
      </c>
      <c r="H256" s="20">
        <f>'Test Cases'!N256</f>
        <v>0</v>
      </c>
      <c r="I256" s="11"/>
    </row>
    <row r="257" ht="19.5" customHeight="1" spans="1:9">
      <c r="A257" s="20" t="str">
        <f>'Test Cases'!A257</f>
        <v>TC_0256</v>
      </c>
      <c r="B257" s="20" t="str">
        <f>'Test Cases'!B257</f>
        <v>TS_012</v>
      </c>
      <c r="C257" s="20" t="str">
        <f>'Test Cases'!D257</f>
        <v>Checkout</v>
      </c>
      <c r="D257" s="20" t="str">
        <f>'Test Cases'!J257</f>
        <v>P1</v>
      </c>
      <c r="E257" s="20" t="str">
        <f>'Test Cases'!L257</f>
        <v>Not Run</v>
      </c>
      <c r="F257" s="20">
        <f>'Test Cases'!O257</f>
        <v>0</v>
      </c>
      <c r="G257" s="20">
        <f>'Test Cases'!P257</f>
        <v>0</v>
      </c>
      <c r="H257" s="20">
        <f>'Test Cases'!N257</f>
        <v>0</v>
      </c>
      <c r="I257" s="11"/>
    </row>
    <row r="258" ht="19.5" customHeight="1" spans="1:9">
      <c r="A258" s="20" t="str">
        <f>'Test Cases'!A258</f>
        <v>TC_0257</v>
      </c>
      <c r="B258" s="20" t="str">
        <f>'Test Cases'!B258</f>
        <v>TS_012</v>
      </c>
      <c r="C258" s="20" t="str">
        <f>'Test Cases'!D258</f>
        <v>Checkout</v>
      </c>
      <c r="D258" s="20" t="str">
        <f>'Test Cases'!J258</f>
        <v>P1</v>
      </c>
      <c r="E258" s="20" t="str">
        <f>'Test Cases'!L258</f>
        <v>Not Run</v>
      </c>
      <c r="F258" s="20">
        <f>'Test Cases'!O258</f>
        <v>0</v>
      </c>
      <c r="G258" s="20">
        <f>'Test Cases'!P258</f>
        <v>0</v>
      </c>
      <c r="H258" s="20">
        <f>'Test Cases'!N258</f>
        <v>0</v>
      </c>
      <c r="I258" s="11"/>
    </row>
    <row r="259" ht="19.5" customHeight="1" spans="1:9">
      <c r="A259" s="20" t="str">
        <f>'Test Cases'!A259</f>
        <v>TC_0258</v>
      </c>
      <c r="B259" s="20" t="str">
        <f>'Test Cases'!B259</f>
        <v>TS_012</v>
      </c>
      <c r="C259" s="20" t="str">
        <f>'Test Cases'!D259</f>
        <v>Checkout</v>
      </c>
      <c r="D259" s="20" t="str">
        <f>'Test Cases'!J259</f>
        <v>P1</v>
      </c>
      <c r="E259" s="20" t="str">
        <f>'Test Cases'!L259</f>
        <v>Fail</v>
      </c>
      <c r="F259" s="20" t="str">
        <f>'Test Cases'!O259</f>
        <v>Ali Hassan</v>
      </c>
      <c r="G259" s="20" t="str">
        <f>'Test Cases'!P259</f>
        <v>2026-09-20</v>
      </c>
      <c r="H259" s="20" t="str">
        <f>'Test Cases'!N259</f>
        <v>BUG_005</v>
      </c>
      <c r="I259" s="11"/>
    </row>
    <row r="260" ht="19.5" customHeight="1" spans="1:9">
      <c r="A260" s="20" t="str">
        <f>'Test Cases'!A260</f>
        <v>TC_0259</v>
      </c>
      <c r="B260" s="20" t="str">
        <f>'Test Cases'!B260</f>
        <v>TS_012</v>
      </c>
      <c r="C260" s="20" t="str">
        <f>'Test Cases'!D260</f>
        <v>Checkout</v>
      </c>
      <c r="D260" s="20" t="str">
        <f>'Test Cases'!J260</f>
        <v>P1</v>
      </c>
      <c r="E260" s="20" t="str">
        <f>'Test Cases'!L260</f>
        <v>Not Run</v>
      </c>
      <c r="F260" s="20">
        <f>'Test Cases'!O260</f>
        <v>0</v>
      </c>
      <c r="G260" s="20">
        <f>'Test Cases'!P260</f>
        <v>0</v>
      </c>
      <c r="H260" s="20">
        <f>'Test Cases'!N260</f>
        <v>0</v>
      </c>
      <c r="I260" s="11"/>
    </row>
    <row r="261" ht="19.5" customHeight="1" spans="1:9">
      <c r="A261" s="20" t="str">
        <f>'Test Cases'!A261</f>
        <v>TC_0260</v>
      </c>
      <c r="B261" s="20" t="str">
        <f>'Test Cases'!B261</f>
        <v>TS_012</v>
      </c>
      <c r="C261" s="20" t="str">
        <f>'Test Cases'!D261</f>
        <v>Checkout</v>
      </c>
      <c r="D261" s="20" t="str">
        <f>'Test Cases'!J261</f>
        <v>P1</v>
      </c>
      <c r="E261" s="20" t="str">
        <f>'Test Cases'!L261</f>
        <v>Not Run</v>
      </c>
      <c r="F261" s="20">
        <f>'Test Cases'!O261</f>
        <v>0</v>
      </c>
      <c r="G261" s="20">
        <f>'Test Cases'!P261</f>
        <v>0</v>
      </c>
      <c r="H261" s="20">
        <f>'Test Cases'!N261</f>
        <v>0</v>
      </c>
      <c r="I261" s="11"/>
    </row>
    <row r="262" ht="19.5" customHeight="1" spans="1:9">
      <c r="A262" s="20" t="str">
        <f>'Test Cases'!A262</f>
        <v>TC_0261</v>
      </c>
      <c r="B262" s="20" t="str">
        <f>'Test Cases'!B262</f>
        <v>TS_012</v>
      </c>
      <c r="C262" s="20" t="str">
        <f>'Test Cases'!D262</f>
        <v>Checkout</v>
      </c>
      <c r="D262" s="20" t="str">
        <f>'Test Cases'!J262</f>
        <v>P1</v>
      </c>
      <c r="E262" s="20" t="str">
        <f>'Test Cases'!L262</f>
        <v>Not Run</v>
      </c>
      <c r="F262" s="20">
        <f>'Test Cases'!O262</f>
        <v>0</v>
      </c>
      <c r="G262" s="20">
        <f>'Test Cases'!P262</f>
        <v>0</v>
      </c>
      <c r="H262" s="20">
        <f>'Test Cases'!N262</f>
        <v>0</v>
      </c>
      <c r="I262" s="11"/>
    </row>
    <row r="263" ht="19.5" customHeight="1" spans="1:9">
      <c r="A263" s="20" t="str">
        <f>'Test Cases'!A263</f>
        <v>TC_0262</v>
      </c>
      <c r="B263" s="20" t="str">
        <f>'Test Cases'!B263</f>
        <v>TS_012</v>
      </c>
      <c r="C263" s="20" t="str">
        <f>'Test Cases'!D263</f>
        <v>Checkout</v>
      </c>
      <c r="D263" s="20" t="str">
        <f>'Test Cases'!J263</f>
        <v>P1</v>
      </c>
      <c r="E263" s="20" t="str">
        <f>'Test Cases'!L263</f>
        <v>Not Run</v>
      </c>
      <c r="F263" s="20">
        <f>'Test Cases'!O263</f>
        <v>0</v>
      </c>
      <c r="G263" s="20">
        <f>'Test Cases'!P263</f>
        <v>0</v>
      </c>
      <c r="H263" s="20">
        <f>'Test Cases'!N263</f>
        <v>0</v>
      </c>
      <c r="I263" s="11"/>
    </row>
    <row r="264" ht="19.5" customHeight="1" spans="1:9">
      <c r="A264" s="20" t="str">
        <f>'Test Cases'!A264</f>
        <v>TC_0263</v>
      </c>
      <c r="B264" s="20" t="str">
        <f>'Test Cases'!B264</f>
        <v>TS_013</v>
      </c>
      <c r="C264" s="20" t="str">
        <f>'Test Cases'!D264</f>
        <v>My Account</v>
      </c>
      <c r="D264" s="20" t="str">
        <f>'Test Cases'!J264</f>
        <v>P2</v>
      </c>
      <c r="E264" s="20" t="str">
        <f>'Test Cases'!L264</f>
        <v>Not Run</v>
      </c>
      <c r="F264" s="20">
        <f>'Test Cases'!O264</f>
        <v>0</v>
      </c>
      <c r="G264" s="20">
        <f>'Test Cases'!P264</f>
        <v>0</v>
      </c>
      <c r="H264" s="20">
        <f>'Test Cases'!N264</f>
        <v>0</v>
      </c>
      <c r="I264" s="11"/>
    </row>
    <row r="265" ht="19.5" customHeight="1" spans="1:9">
      <c r="A265" s="20" t="str">
        <f>'Test Cases'!A265</f>
        <v>TC_0264</v>
      </c>
      <c r="B265" s="20" t="str">
        <f>'Test Cases'!B265</f>
        <v>TS_013</v>
      </c>
      <c r="C265" s="20" t="str">
        <f>'Test Cases'!D265</f>
        <v>My Account</v>
      </c>
      <c r="D265" s="20" t="str">
        <f>'Test Cases'!J265</f>
        <v>P2</v>
      </c>
      <c r="E265" s="20" t="str">
        <f>'Test Cases'!L265</f>
        <v>Not Run</v>
      </c>
      <c r="F265" s="20">
        <f>'Test Cases'!O265</f>
        <v>0</v>
      </c>
      <c r="G265" s="20">
        <f>'Test Cases'!P265</f>
        <v>0</v>
      </c>
      <c r="H265" s="20">
        <f>'Test Cases'!N265</f>
        <v>0</v>
      </c>
      <c r="I265" s="11"/>
    </row>
    <row r="266" ht="19.5" customHeight="1" spans="1:9">
      <c r="A266" s="20" t="str">
        <f>'Test Cases'!A266</f>
        <v>TC_0265</v>
      </c>
      <c r="B266" s="20" t="str">
        <f>'Test Cases'!B266</f>
        <v>TS_013</v>
      </c>
      <c r="C266" s="20" t="str">
        <f>'Test Cases'!D266</f>
        <v>My Account</v>
      </c>
      <c r="D266" s="20" t="str">
        <f>'Test Cases'!J266</f>
        <v>P2</v>
      </c>
      <c r="E266" s="20" t="str">
        <f>'Test Cases'!L266</f>
        <v>Pass</v>
      </c>
      <c r="F266" s="20" t="str">
        <f>'Test Cases'!O266</f>
        <v>Mona Fathy</v>
      </c>
      <c r="G266" s="20" t="str">
        <f>'Test Cases'!P266</f>
        <v>2026-09-20</v>
      </c>
      <c r="H266" s="20">
        <f>'Test Cases'!N266</f>
        <v>0</v>
      </c>
      <c r="I266" s="11"/>
    </row>
    <row r="267" ht="19.5" customHeight="1" spans="1:9">
      <c r="A267" s="20" t="str">
        <f>'Test Cases'!A267</f>
        <v>TC_0266</v>
      </c>
      <c r="B267" s="20" t="str">
        <f>'Test Cases'!B267</f>
        <v>TS_013</v>
      </c>
      <c r="C267" s="20" t="str">
        <f>'Test Cases'!D267</f>
        <v>My Account</v>
      </c>
      <c r="D267" s="20" t="str">
        <f>'Test Cases'!J267</f>
        <v>P2</v>
      </c>
      <c r="E267" s="20" t="str">
        <f>'Test Cases'!L267</f>
        <v>Not Run</v>
      </c>
      <c r="F267" s="20">
        <f>'Test Cases'!O267</f>
        <v>0</v>
      </c>
      <c r="G267" s="20">
        <f>'Test Cases'!P267</f>
        <v>0</v>
      </c>
      <c r="H267" s="20">
        <f>'Test Cases'!N267</f>
        <v>0</v>
      </c>
      <c r="I267" s="11"/>
    </row>
    <row r="268" ht="19.5" customHeight="1" spans="1:9">
      <c r="A268" s="20" t="str">
        <f>'Test Cases'!A268</f>
        <v>TC_0267</v>
      </c>
      <c r="B268" s="20" t="str">
        <f>'Test Cases'!B268</f>
        <v>TS_013</v>
      </c>
      <c r="C268" s="20" t="str">
        <f>'Test Cases'!D268</f>
        <v>My Account</v>
      </c>
      <c r="D268" s="20" t="str">
        <f>'Test Cases'!J268</f>
        <v>P2</v>
      </c>
      <c r="E268" s="20" t="str">
        <f>'Test Cases'!L268</f>
        <v>Not Run</v>
      </c>
      <c r="F268" s="20">
        <f>'Test Cases'!O268</f>
        <v>0</v>
      </c>
      <c r="G268" s="20">
        <f>'Test Cases'!P268</f>
        <v>0</v>
      </c>
      <c r="H268" s="20">
        <f>'Test Cases'!N268</f>
        <v>0</v>
      </c>
      <c r="I268" s="11"/>
    </row>
    <row r="269" ht="19.5" customHeight="1" spans="1:9">
      <c r="A269" s="20" t="str">
        <f>'Test Cases'!A269</f>
        <v>TC_0268</v>
      </c>
      <c r="B269" s="20" t="str">
        <f>'Test Cases'!B269</f>
        <v>TS_013</v>
      </c>
      <c r="C269" s="20" t="str">
        <f>'Test Cases'!D269</f>
        <v>My Account</v>
      </c>
      <c r="D269" s="20" t="str">
        <f>'Test Cases'!J269</f>
        <v>P2</v>
      </c>
      <c r="E269" s="20" t="str">
        <f>'Test Cases'!L269</f>
        <v>Not Run</v>
      </c>
      <c r="F269" s="20">
        <f>'Test Cases'!O269</f>
        <v>0</v>
      </c>
      <c r="G269" s="20">
        <f>'Test Cases'!P269</f>
        <v>0</v>
      </c>
      <c r="H269" s="20">
        <f>'Test Cases'!N269</f>
        <v>0</v>
      </c>
      <c r="I269" s="11"/>
    </row>
    <row r="270" ht="19.5" customHeight="1" spans="1:9">
      <c r="A270" s="20" t="str">
        <f>'Test Cases'!A270</f>
        <v>TC_0269</v>
      </c>
      <c r="B270" s="20" t="str">
        <f>'Test Cases'!B270</f>
        <v>TS_013</v>
      </c>
      <c r="C270" s="20" t="str">
        <f>'Test Cases'!D270</f>
        <v>My Account</v>
      </c>
      <c r="D270" s="20" t="str">
        <f>'Test Cases'!J270</f>
        <v>P2</v>
      </c>
      <c r="E270" s="20" t="str">
        <f>'Test Cases'!L270</f>
        <v>Not Run</v>
      </c>
      <c r="F270" s="20">
        <f>'Test Cases'!O270</f>
        <v>0</v>
      </c>
      <c r="G270" s="20">
        <f>'Test Cases'!P270</f>
        <v>0</v>
      </c>
      <c r="H270" s="20">
        <f>'Test Cases'!N270</f>
        <v>0</v>
      </c>
      <c r="I270" s="11"/>
    </row>
    <row r="271" ht="19.5" customHeight="1" spans="1:9">
      <c r="A271" s="20" t="str">
        <f>'Test Cases'!A271</f>
        <v>TC_0270</v>
      </c>
      <c r="B271" s="20" t="str">
        <f>'Test Cases'!B271</f>
        <v>TS_013</v>
      </c>
      <c r="C271" s="20" t="str">
        <f>'Test Cases'!D271</f>
        <v>My Account</v>
      </c>
      <c r="D271" s="20" t="str">
        <f>'Test Cases'!J271</f>
        <v>P2</v>
      </c>
      <c r="E271" s="20" t="str">
        <f>'Test Cases'!L271</f>
        <v>Pass</v>
      </c>
      <c r="F271" s="20" t="str">
        <f>'Test Cases'!O271</f>
        <v>Ali Hassan</v>
      </c>
      <c r="G271" s="20" t="str">
        <f>'Test Cases'!P271</f>
        <v>2026-09-20</v>
      </c>
      <c r="H271" s="20">
        <f>'Test Cases'!N271</f>
        <v>0</v>
      </c>
      <c r="I271" s="11"/>
    </row>
    <row r="272" ht="19.5" customHeight="1" spans="1:9">
      <c r="A272" s="20" t="str">
        <f>'Test Cases'!A272</f>
        <v>TC_0271</v>
      </c>
      <c r="B272" s="20" t="str">
        <f>'Test Cases'!B272</f>
        <v>TS_013</v>
      </c>
      <c r="C272" s="20" t="str">
        <f>'Test Cases'!D272</f>
        <v>My Account</v>
      </c>
      <c r="D272" s="20" t="str">
        <f>'Test Cases'!J272</f>
        <v>P2</v>
      </c>
      <c r="E272" s="20" t="str">
        <f>'Test Cases'!L272</f>
        <v>Not Run</v>
      </c>
      <c r="F272" s="20">
        <f>'Test Cases'!O272</f>
        <v>0</v>
      </c>
      <c r="G272" s="20">
        <f>'Test Cases'!P272</f>
        <v>0</v>
      </c>
      <c r="H272" s="20">
        <f>'Test Cases'!N272</f>
        <v>0</v>
      </c>
      <c r="I272" s="11"/>
    </row>
  </sheetData>
  <conditionalFormatting sqref="D2:D272">
    <cfRule type="cellIs" dxfId="0" priority="7" operator="equal">
      <formula>"P0"</formula>
    </cfRule>
    <cfRule type="cellIs" dxfId="1" priority="8" operator="equal">
      <formula>"P1"</formula>
    </cfRule>
    <cfRule type="cellIs" dxfId="2" priority="9" operator="equal">
      <formula>"P2"</formula>
    </cfRule>
    <cfRule type="cellIs" dxfId="3" priority="10" operator="equal">
      <formula>"P4"</formula>
    </cfRule>
  </conditionalFormatting>
  <conditionalFormatting sqref="E2:E272">
    <cfRule type="cellIs" dxfId="4" priority="2" operator="equal">
      <formula>"Pass"</formula>
    </cfRule>
    <cfRule type="cellIs" dxfId="5" priority="3" operator="equal">
      <formula>"Fail"</formula>
    </cfRule>
    <cfRule type="cellIs" dxfId="6" priority="4" operator="equal">
      <formula>"Blocked"</formula>
    </cfRule>
    <cfRule type="cellIs" dxfId="7" priority="5" operator="equal">
      <formula>"Not Run"</formula>
    </cfRule>
    <cfRule type="cellIs" dxfId="7" priority="6" operator="equal">
      <formula>"N/A"</formula>
    </cfRule>
  </conditionalFormatting>
  <dataValidations count="1">
    <dataValidation type="list" allowBlank="1" sqref="E2:E272">
      <formula1>"Not Run,Pass,Fail,Blocked,N/A"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/>
  <cols>
    <col min="1" max="1" width="10" style="1" customWidth="1"/>
    <col min="2" max="2" width="28" style="1" customWidth="1"/>
    <col min="3" max="3" width="12" style="1" customWidth="1"/>
    <col min="4" max="4" width="18" style="1" customWidth="1"/>
    <col min="5" max="6" width="10" style="1" customWidth="1"/>
    <col min="7" max="7" width="12" style="1" customWidth="1"/>
    <col min="8" max="8" width="14" style="1" customWidth="1"/>
    <col min="9" max="9" width="32" style="1" customWidth="1"/>
    <col min="10" max="11" width="26" style="1" customWidth="1"/>
    <col min="12" max="14" width="14" style="1" customWidth="1"/>
  </cols>
  <sheetData>
    <row r="1" ht="31.5" customHeight="1" spans="1:14">
      <c r="A1" s="19" t="s">
        <v>1610</v>
      </c>
      <c r="B1" s="19" t="s">
        <v>1611</v>
      </c>
      <c r="C1" s="19" t="s">
        <v>37</v>
      </c>
      <c r="D1" s="19" t="s">
        <v>38</v>
      </c>
      <c r="E1" s="19" t="s">
        <v>1612</v>
      </c>
      <c r="F1" s="19" t="s">
        <v>3</v>
      </c>
      <c r="G1" s="19" t="s">
        <v>45</v>
      </c>
      <c r="H1" s="19" t="s">
        <v>1613</v>
      </c>
      <c r="I1" s="19" t="s">
        <v>1614</v>
      </c>
      <c r="J1" s="19" t="s">
        <v>43</v>
      </c>
      <c r="K1" s="19" t="s">
        <v>46</v>
      </c>
      <c r="L1" s="19" t="s">
        <v>1615</v>
      </c>
      <c r="M1" s="19" t="s">
        <v>1616</v>
      </c>
      <c r="N1" s="19" t="s">
        <v>1617</v>
      </c>
    </row>
    <row r="2" ht="19.5" customHeight="1" spans="1:14">
      <c r="A2" s="20" t="str">
        <f t="shared" ref="A2:A61" si="0">IF(B2="","","BUG_"&amp;TEXT(ROW()-1,"000"))</f>
        <v>BUG_001</v>
      </c>
      <c r="B2" s="11" t="s">
        <v>1618</v>
      </c>
      <c r="C2" s="20" t="s">
        <v>101</v>
      </c>
      <c r="D2" s="20" t="s">
        <v>51</v>
      </c>
      <c r="E2" s="20" t="s">
        <v>1619</v>
      </c>
      <c r="F2" s="20" t="s">
        <v>8</v>
      </c>
      <c r="G2" s="20" t="s">
        <v>1620</v>
      </c>
      <c r="H2" s="20" t="s">
        <v>1621</v>
      </c>
      <c r="I2" s="11" t="s">
        <v>1622</v>
      </c>
      <c r="J2" s="11" t="s">
        <v>1623</v>
      </c>
      <c r="K2" s="11" t="s">
        <v>1624</v>
      </c>
      <c r="L2" s="20" t="s">
        <v>1625</v>
      </c>
      <c r="M2" s="20" t="s">
        <v>61</v>
      </c>
      <c r="N2" s="20"/>
    </row>
    <row r="3" ht="19.5" customHeight="1" spans="1:14">
      <c r="A3" s="20" t="str">
        <f t="shared" si="0"/>
        <v>BUG_002</v>
      </c>
      <c r="B3" s="11" t="s">
        <v>1626</v>
      </c>
      <c r="C3" s="20" t="s">
        <v>300</v>
      </c>
      <c r="D3" s="20" t="s">
        <v>221</v>
      </c>
      <c r="E3" s="20" t="s">
        <v>1627</v>
      </c>
      <c r="F3" s="20" t="s">
        <v>8</v>
      </c>
      <c r="G3" s="20" t="s">
        <v>1620</v>
      </c>
      <c r="H3" s="20" t="s">
        <v>1621</v>
      </c>
      <c r="I3" s="11" t="s">
        <v>1628</v>
      </c>
      <c r="J3" s="11" t="s">
        <v>1629</v>
      </c>
      <c r="K3" s="11" t="s">
        <v>1630</v>
      </c>
      <c r="L3" s="20" t="s">
        <v>1625</v>
      </c>
      <c r="M3" s="20" t="s">
        <v>207</v>
      </c>
      <c r="N3" s="20"/>
    </row>
    <row r="4" ht="19.5" customHeight="1" spans="1:14">
      <c r="A4" s="20" t="str">
        <f t="shared" si="0"/>
        <v>BUG_003</v>
      </c>
      <c r="B4" s="11" t="s">
        <v>1631</v>
      </c>
      <c r="C4" s="20" t="s">
        <v>628</v>
      </c>
      <c r="D4" s="20" t="s">
        <v>550</v>
      </c>
      <c r="E4" s="20" t="s">
        <v>1627</v>
      </c>
      <c r="F4" s="20" t="s">
        <v>18</v>
      </c>
      <c r="G4" s="20" t="s">
        <v>1632</v>
      </c>
      <c r="H4" s="20" t="s">
        <v>1621</v>
      </c>
      <c r="I4" s="11" t="s">
        <v>1633</v>
      </c>
      <c r="J4" s="11" t="s">
        <v>1634</v>
      </c>
      <c r="K4" s="11" t="s">
        <v>1635</v>
      </c>
      <c r="L4" s="20" t="s">
        <v>1625</v>
      </c>
      <c r="M4" s="20" t="s">
        <v>393</v>
      </c>
      <c r="N4" s="20"/>
    </row>
    <row r="5" ht="19.5" customHeight="1" spans="1:14">
      <c r="A5" s="20" t="str">
        <f t="shared" si="0"/>
        <v>BUG_004</v>
      </c>
      <c r="B5" s="11" t="s">
        <v>1636</v>
      </c>
      <c r="C5" s="20" t="s">
        <v>1347</v>
      </c>
      <c r="D5" s="20" t="s">
        <v>29</v>
      </c>
      <c r="E5" s="20" t="s">
        <v>1619</v>
      </c>
      <c r="F5" s="20" t="s">
        <v>18</v>
      </c>
      <c r="G5" s="20" t="s">
        <v>1620</v>
      </c>
      <c r="H5" s="20" t="s">
        <v>1621</v>
      </c>
      <c r="I5" s="11" t="s">
        <v>1637</v>
      </c>
      <c r="J5" s="11" t="s">
        <v>1638</v>
      </c>
      <c r="K5" s="11" t="s">
        <v>1639</v>
      </c>
      <c r="L5" s="20" t="s">
        <v>1625</v>
      </c>
      <c r="M5" s="20" t="s">
        <v>1208</v>
      </c>
      <c r="N5" s="20"/>
    </row>
    <row r="6" ht="19.5" customHeight="1" spans="1:14">
      <c r="A6" s="20" t="str">
        <f t="shared" si="0"/>
        <v>BUG_005</v>
      </c>
      <c r="B6" s="11" t="s">
        <v>1640</v>
      </c>
      <c r="C6" s="20" t="s">
        <v>1532</v>
      </c>
      <c r="D6" s="20" t="s">
        <v>33</v>
      </c>
      <c r="E6" s="20" t="s">
        <v>1627</v>
      </c>
      <c r="F6" s="20" t="s">
        <v>18</v>
      </c>
      <c r="G6" s="20" t="s">
        <v>1632</v>
      </c>
      <c r="H6" s="20" t="s">
        <v>1621</v>
      </c>
      <c r="I6" s="11" t="s">
        <v>1530</v>
      </c>
      <c r="J6" s="11" t="s">
        <v>1641</v>
      </c>
      <c r="K6" s="11" t="s">
        <v>1642</v>
      </c>
      <c r="L6" s="20" t="s">
        <v>1643</v>
      </c>
      <c r="M6" s="20" t="s">
        <v>1504</v>
      </c>
      <c r="N6" s="20"/>
    </row>
    <row r="7" ht="19.5" customHeight="1" spans="1:14">
      <c r="A7" s="20" t="str">
        <f t="shared" si="0"/>
        <v/>
      </c>
      <c r="B7" s="11"/>
      <c r="C7" s="20"/>
      <c r="D7" s="20"/>
      <c r="E7" s="20"/>
      <c r="F7" s="20"/>
      <c r="G7" s="20"/>
      <c r="H7" s="20"/>
      <c r="I7" s="11"/>
      <c r="J7" s="11"/>
      <c r="K7" s="11"/>
      <c r="L7" s="20"/>
      <c r="M7" s="20"/>
      <c r="N7" s="20"/>
    </row>
    <row r="8" ht="19.5" customHeight="1" spans="1:14">
      <c r="A8" s="20" t="str">
        <f t="shared" si="0"/>
        <v/>
      </c>
      <c r="B8" s="11"/>
      <c r="C8" s="20"/>
      <c r="D8" s="20"/>
      <c r="E8" s="20"/>
      <c r="F8" s="20"/>
      <c r="G8" s="20"/>
      <c r="H8" s="20"/>
      <c r="I8" s="11"/>
      <c r="J8" s="11"/>
      <c r="K8" s="11"/>
      <c r="L8" s="20"/>
      <c r="M8" s="20"/>
      <c r="N8" s="20"/>
    </row>
    <row r="9" ht="19.5" customHeight="1" spans="1:14">
      <c r="A9" s="20" t="str">
        <f t="shared" si="0"/>
        <v/>
      </c>
      <c r="B9" s="11"/>
      <c r="C9" s="20"/>
      <c r="D9" s="20"/>
      <c r="E9" s="20"/>
      <c r="F9" s="20"/>
      <c r="G9" s="20"/>
      <c r="H9" s="20"/>
      <c r="I9" s="11"/>
      <c r="J9" s="11"/>
      <c r="K9" s="11"/>
      <c r="L9" s="20"/>
      <c r="M9" s="20"/>
      <c r="N9" s="20"/>
    </row>
    <row r="10" ht="19.5" customHeight="1" spans="1:14">
      <c r="A10" s="20" t="str">
        <f t="shared" si="0"/>
        <v/>
      </c>
      <c r="B10" s="11"/>
      <c r="C10" s="20"/>
      <c r="D10" s="20"/>
      <c r="E10" s="20"/>
      <c r="F10" s="20"/>
      <c r="G10" s="20"/>
      <c r="H10" s="20"/>
      <c r="I10" s="11"/>
      <c r="J10" s="11"/>
      <c r="K10" s="11"/>
      <c r="L10" s="20"/>
      <c r="M10" s="20"/>
      <c r="N10" s="20"/>
    </row>
    <row r="11" ht="19.5" customHeight="1" spans="1:14">
      <c r="A11" s="20" t="str">
        <f t="shared" si="0"/>
        <v/>
      </c>
      <c r="B11" s="11"/>
      <c r="C11" s="20"/>
      <c r="D11" s="20"/>
      <c r="E11" s="20"/>
      <c r="F11" s="20"/>
      <c r="G11" s="20"/>
      <c r="H11" s="20"/>
      <c r="I11" s="11"/>
      <c r="J11" s="11"/>
      <c r="K11" s="11"/>
      <c r="L11" s="20"/>
      <c r="M11" s="20"/>
      <c r="N11" s="20"/>
    </row>
    <row r="12" ht="19.5" customHeight="1" spans="1:14">
      <c r="A12" s="20" t="str">
        <f t="shared" si="0"/>
        <v/>
      </c>
      <c r="B12" s="11"/>
      <c r="C12" s="20"/>
      <c r="D12" s="20"/>
      <c r="E12" s="20"/>
      <c r="F12" s="20"/>
      <c r="G12" s="20"/>
      <c r="H12" s="20"/>
      <c r="I12" s="11"/>
      <c r="J12" s="11"/>
      <c r="K12" s="11"/>
      <c r="L12" s="20"/>
      <c r="M12" s="20"/>
      <c r="N12" s="20"/>
    </row>
    <row r="13" ht="19.5" customHeight="1" spans="1:14">
      <c r="A13" s="20" t="str">
        <f t="shared" si="0"/>
        <v/>
      </c>
      <c r="B13" s="11"/>
      <c r="C13" s="20"/>
      <c r="D13" s="20"/>
      <c r="E13" s="20"/>
      <c r="F13" s="20"/>
      <c r="G13" s="20"/>
      <c r="H13" s="20"/>
      <c r="I13" s="11"/>
      <c r="J13" s="11"/>
      <c r="K13" s="11"/>
      <c r="L13" s="20"/>
      <c r="M13" s="20"/>
      <c r="N13" s="20"/>
    </row>
    <row r="14" ht="19.5" customHeight="1" spans="1:14">
      <c r="A14" s="20" t="str">
        <f t="shared" si="0"/>
        <v/>
      </c>
      <c r="B14" s="11"/>
      <c r="C14" s="20"/>
      <c r="D14" s="20"/>
      <c r="E14" s="20"/>
      <c r="F14" s="20"/>
      <c r="G14" s="20"/>
      <c r="H14" s="20"/>
      <c r="I14" s="11"/>
      <c r="J14" s="11"/>
      <c r="K14" s="11"/>
      <c r="L14" s="20"/>
      <c r="M14" s="20"/>
      <c r="N14" s="20"/>
    </row>
    <row r="15" ht="19.5" customHeight="1" spans="1:14">
      <c r="A15" s="20" t="str">
        <f t="shared" si="0"/>
        <v/>
      </c>
      <c r="B15" s="11"/>
      <c r="C15" s="20"/>
      <c r="D15" s="20"/>
      <c r="E15" s="20"/>
      <c r="F15" s="20"/>
      <c r="G15" s="20"/>
      <c r="H15" s="20"/>
      <c r="I15" s="11"/>
      <c r="J15" s="11"/>
      <c r="K15" s="11"/>
      <c r="L15" s="20"/>
      <c r="M15" s="20"/>
      <c r="N15" s="20"/>
    </row>
    <row r="16" ht="19.5" customHeight="1" spans="1:14">
      <c r="A16" s="20" t="str">
        <f t="shared" si="0"/>
        <v/>
      </c>
      <c r="B16" s="11"/>
      <c r="C16" s="20"/>
      <c r="D16" s="20"/>
      <c r="E16" s="20"/>
      <c r="F16" s="20"/>
      <c r="G16" s="20"/>
      <c r="H16" s="20"/>
      <c r="I16" s="11"/>
      <c r="J16" s="11"/>
      <c r="K16" s="11"/>
      <c r="L16" s="20"/>
      <c r="M16" s="20"/>
      <c r="N16" s="20"/>
    </row>
    <row r="17" ht="19.5" customHeight="1" spans="1:14">
      <c r="A17" s="20" t="str">
        <f t="shared" si="0"/>
        <v/>
      </c>
      <c r="B17" s="11"/>
      <c r="C17" s="20"/>
      <c r="D17" s="20"/>
      <c r="E17" s="20"/>
      <c r="F17" s="20"/>
      <c r="G17" s="20"/>
      <c r="H17" s="20"/>
      <c r="I17" s="11"/>
      <c r="J17" s="11"/>
      <c r="K17" s="11"/>
      <c r="L17" s="20"/>
      <c r="M17" s="20"/>
      <c r="N17" s="20"/>
    </row>
    <row r="18" ht="19.5" customHeight="1" spans="1:14">
      <c r="A18" s="20" t="str">
        <f t="shared" si="0"/>
        <v/>
      </c>
      <c r="B18" s="11"/>
      <c r="C18" s="20"/>
      <c r="D18" s="20"/>
      <c r="E18" s="20"/>
      <c r="F18" s="20"/>
      <c r="G18" s="20"/>
      <c r="H18" s="20"/>
      <c r="I18" s="11"/>
      <c r="J18" s="11"/>
      <c r="K18" s="11"/>
      <c r="L18" s="20"/>
      <c r="M18" s="20"/>
      <c r="N18" s="20"/>
    </row>
    <row r="19" ht="19.5" customHeight="1" spans="1:14">
      <c r="A19" s="20" t="str">
        <f t="shared" si="0"/>
        <v/>
      </c>
      <c r="B19" s="11"/>
      <c r="C19" s="20"/>
      <c r="D19" s="20"/>
      <c r="E19" s="20"/>
      <c r="F19" s="20"/>
      <c r="G19" s="20"/>
      <c r="H19" s="20"/>
      <c r="I19" s="11"/>
      <c r="J19" s="11"/>
      <c r="K19" s="11"/>
      <c r="L19" s="20"/>
      <c r="M19" s="20"/>
      <c r="N19" s="20"/>
    </row>
    <row r="20" ht="19.5" customHeight="1" spans="1:14">
      <c r="A20" s="20" t="str">
        <f t="shared" si="0"/>
        <v/>
      </c>
      <c r="B20" s="11"/>
      <c r="C20" s="20"/>
      <c r="D20" s="20"/>
      <c r="E20" s="20"/>
      <c r="F20" s="20"/>
      <c r="G20" s="20"/>
      <c r="H20" s="20"/>
      <c r="I20" s="11"/>
      <c r="J20" s="11"/>
      <c r="K20" s="11"/>
      <c r="L20" s="20"/>
      <c r="M20" s="20"/>
      <c r="N20" s="20"/>
    </row>
    <row r="21" ht="19.5" customHeight="1" spans="1:14">
      <c r="A21" s="20" t="str">
        <f t="shared" si="0"/>
        <v/>
      </c>
      <c r="B21" s="11"/>
      <c r="C21" s="20"/>
      <c r="D21" s="20"/>
      <c r="E21" s="20"/>
      <c r="F21" s="20"/>
      <c r="G21" s="20"/>
      <c r="H21" s="20"/>
      <c r="I21" s="11"/>
      <c r="J21" s="11"/>
      <c r="K21" s="11"/>
      <c r="L21" s="20"/>
      <c r="M21" s="20"/>
      <c r="N21" s="20"/>
    </row>
    <row r="22" ht="19.5" customHeight="1" spans="1:14">
      <c r="A22" s="20" t="str">
        <f t="shared" si="0"/>
        <v/>
      </c>
      <c r="B22" s="11"/>
      <c r="C22" s="20"/>
      <c r="D22" s="20"/>
      <c r="E22" s="20"/>
      <c r="F22" s="20"/>
      <c r="G22" s="20"/>
      <c r="H22" s="20"/>
      <c r="I22" s="11"/>
      <c r="J22" s="11"/>
      <c r="K22" s="11"/>
      <c r="L22" s="20"/>
      <c r="M22" s="20"/>
      <c r="N22" s="20"/>
    </row>
    <row r="23" ht="19.5" customHeight="1" spans="1:14">
      <c r="A23" s="20" t="str">
        <f t="shared" si="0"/>
        <v/>
      </c>
      <c r="B23" s="11"/>
      <c r="C23" s="20"/>
      <c r="D23" s="20"/>
      <c r="E23" s="20"/>
      <c r="F23" s="20"/>
      <c r="G23" s="20"/>
      <c r="H23" s="20"/>
      <c r="I23" s="11"/>
      <c r="J23" s="11"/>
      <c r="K23" s="11"/>
      <c r="L23" s="20"/>
      <c r="M23" s="20"/>
      <c r="N23" s="20"/>
    </row>
    <row r="24" ht="19.5" customHeight="1" spans="1:14">
      <c r="A24" s="20" t="str">
        <f t="shared" si="0"/>
        <v/>
      </c>
      <c r="B24" s="11"/>
      <c r="C24" s="20"/>
      <c r="D24" s="20"/>
      <c r="E24" s="20"/>
      <c r="F24" s="20"/>
      <c r="G24" s="20"/>
      <c r="H24" s="20"/>
      <c r="I24" s="11"/>
      <c r="J24" s="11"/>
      <c r="K24" s="11"/>
      <c r="L24" s="20"/>
      <c r="M24" s="20"/>
      <c r="N24" s="20"/>
    </row>
    <row r="25" ht="19.5" customHeight="1" spans="1:14">
      <c r="A25" s="20" t="str">
        <f t="shared" si="0"/>
        <v/>
      </c>
      <c r="B25" s="11"/>
      <c r="C25" s="20"/>
      <c r="D25" s="20"/>
      <c r="E25" s="20"/>
      <c r="F25" s="20"/>
      <c r="G25" s="20"/>
      <c r="H25" s="20"/>
      <c r="I25" s="11"/>
      <c r="J25" s="11"/>
      <c r="K25" s="11"/>
      <c r="L25" s="20"/>
      <c r="M25" s="20"/>
      <c r="N25" s="20"/>
    </row>
    <row r="26" ht="19.5" customHeight="1" spans="1:14">
      <c r="A26" s="20" t="str">
        <f t="shared" si="0"/>
        <v/>
      </c>
      <c r="B26" s="11"/>
      <c r="C26" s="20"/>
      <c r="D26" s="20"/>
      <c r="E26" s="20"/>
      <c r="F26" s="20"/>
      <c r="G26" s="20"/>
      <c r="H26" s="20"/>
      <c r="I26" s="11"/>
      <c r="J26" s="11"/>
      <c r="K26" s="11"/>
      <c r="L26" s="20"/>
      <c r="M26" s="20"/>
      <c r="N26" s="20"/>
    </row>
    <row r="27" ht="19.5" customHeight="1" spans="1:14">
      <c r="A27" s="20" t="str">
        <f t="shared" si="0"/>
        <v/>
      </c>
      <c r="B27" s="11"/>
      <c r="C27" s="20"/>
      <c r="D27" s="20"/>
      <c r="E27" s="20"/>
      <c r="F27" s="20"/>
      <c r="G27" s="20"/>
      <c r="H27" s="20"/>
      <c r="I27" s="11"/>
      <c r="J27" s="11"/>
      <c r="K27" s="11"/>
      <c r="L27" s="20"/>
      <c r="M27" s="20"/>
      <c r="N27" s="20"/>
    </row>
    <row r="28" ht="19.5" customHeight="1" spans="1:14">
      <c r="A28" s="20" t="str">
        <f t="shared" si="0"/>
        <v/>
      </c>
      <c r="B28" s="11"/>
      <c r="C28" s="20"/>
      <c r="D28" s="20"/>
      <c r="E28" s="20"/>
      <c r="F28" s="20"/>
      <c r="G28" s="20"/>
      <c r="H28" s="20"/>
      <c r="I28" s="11"/>
      <c r="J28" s="11"/>
      <c r="K28" s="11"/>
      <c r="L28" s="20"/>
      <c r="M28" s="20"/>
      <c r="N28" s="20"/>
    </row>
    <row r="29" ht="19.5" customHeight="1" spans="1:14">
      <c r="A29" s="20" t="str">
        <f t="shared" si="0"/>
        <v/>
      </c>
      <c r="B29" s="11"/>
      <c r="C29" s="20"/>
      <c r="D29" s="20"/>
      <c r="E29" s="20"/>
      <c r="F29" s="20"/>
      <c r="G29" s="20"/>
      <c r="H29" s="20"/>
      <c r="I29" s="11"/>
      <c r="J29" s="11"/>
      <c r="K29" s="11"/>
      <c r="L29" s="20"/>
      <c r="M29" s="20"/>
      <c r="N29" s="20"/>
    </row>
    <row r="30" ht="19.5" customHeight="1" spans="1:14">
      <c r="A30" s="20" t="str">
        <f t="shared" si="0"/>
        <v/>
      </c>
      <c r="B30" s="11"/>
      <c r="C30" s="20"/>
      <c r="D30" s="20"/>
      <c r="E30" s="20"/>
      <c r="F30" s="20"/>
      <c r="G30" s="20"/>
      <c r="H30" s="20"/>
      <c r="I30" s="11"/>
      <c r="J30" s="11"/>
      <c r="K30" s="11"/>
      <c r="L30" s="20"/>
      <c r="M30" s="20"/>
      <c r="N30" s="20"/>
    </row>
    <row r="31" ht="19.5" customHeight="1" spans="1:14">
      <c r="A31" s="20" t="str">
        <f t="shared" si="0"/>
        <v/>
      </c>
      <c r="B31" s="11"/>
      <c r="C31" s="20"/>
      <c r="D31" s="20"/>
      <c r="E31" s="20"/>
      <c r="F31" s="20"/>
      <c r="G31" s="20"/>
      <c r="H31" s="20"/>
      <c r="I31" s="11"/>
      <c r="J31" s="11"/>
      <c r="K31" s="11"/>
      <c r="L31" s="20"/>
      <c r="M31" s="20"/>
      <c r="N31" s="20"/>
    </row>
    <row r="32" ht="19.5" customHeight="1" spans="1:14">
      <c r="A32" s="20" t="str">
        <f t="shared" si="0"/>
        <v/>
      </c>
      <c r="B32" s="11"/>
      <c r="C32" s="20"/>
      <c r="D32" s="20"/>
      <c r="E32" s="20"/>
      <c r="F32" s="20"/>
      <c r="G32" s="20"/>
      <c r="H32" s="20"/>
      <c r="I32" s="11"/>
      <c r="J32" s="11"/>
      <c r="K32" s="11"/>
      <c r="L32" s="20"/>
      <c r="M32" s="20"/>
      <c r="N32" s="20"/>
    </row>
    <row r="33" ht="19.5" customHeight="1" spans="1:14">
      <c r="A33" s="20" t="str">
        <f t="shared" si="0"/>
        <v/>
      </c>
      <c r="B33" s="11"/>
      <c r="C33" s="20"/>
      <c r="D33" s="20"/>
      <c r="E33" s="20"/>
      <c r="F33" s="20"/>
      <c r="G33" s="20"/>
      <c r="H33" s="20"/>
      <c r="I33" s="11"/>
      <c r="J33" s="11"/>
      <c r="K33" s="11"/>
      <c r="L33" s="20"/>
      <c r="M33" s="20"/>
      <c r="N33" s="20"/>
    </row>
    <row r="34" ht="19.5" customHeight="1" spans="1:14">
      <c r="A34" s="20" t="str">
        <f t="shared" si="0"/>
        <v/>
      </c>
      <c r="B34" s="11"/>
      <c r="C34" s="20"/>
      <c r="D34" s="20"/>
      <c r="E34" s="20"/>
      <c r="F34" s="20"/>
      <c r="G34" s="20"/>
      <c r="H34" s="20"/>
      <c r="I34" s="11"/>
      <c r="J34" s="11"/>
      <c r="K34" s="11"/>
      <c r="L34" s="20"/>
      <c r="M34" s="20"/>
      <c r="N34" s="20"/>
    </row>
    <row r="35" ht="19.5" customHeight="1" spans="1:14">
      <c r="A35" s="20" t="str">
        <f t="shared" si="0"/>
        <v/>
      </c>
      <c r="B35" s="11"/>
      <c r="C35" s="20"/>
      <c r="D35" s="20"/>
      <c r="E35" s="20"/>
      <c r="F35" s="20"/>
      <c r="G35" s="20"/>
      <c r="H35" s="20"/>
      <c r="I35" s="11"/>
      <c r="J35" s="11"/>
      <c r="K35" s="11"/>
      <c r="L35" s="20"/>
      <c r="M35" s="20"/>
      <c r="N35" s="20"/>
    </row>
    <row r="36" ht="19.5" customHeight="1" spans="1:14">
      <c r="A36" s="20" t="str">
        <f t="shared" si="0"/>
        <v/>
      </c>
      <c r="B36" s="11"/>
      <c r="C36" s="20"/>
      <c r="D36" s="20"/>
      <c r="E36" s="20"/>
      <c r="F36" s="20"/>
      <c r="G36" s="20"/>
      <c r="H36" s="20"/>
      <c r="I36" s="11"/>
      <c r="J36" s="11"/>
      <c r="K36" s="11"/>
      <c r="L36" s="20"/>
      <c r="M36" s="20"/>
      <c r="N36" s="20"/>
    </row>
    <row r="37" ht="19.5" customHeight="1" spans="1:14">
      <c r="A37" s="20" t="str">
        <f t="shared" si="0"/>
        <v/>
      </c>
      <c r="B37" s="11"/>
      <c r="C37" s="20"/>
      <c r="D37" s="20"/>
      <c r="E37" s="20"/>
      <c r="F37" s="20"/>
      <c r="G37" s="20"/>
      <c r="H37" s="20"/>
      <c r="I37" s="11"/>
      <c r="J37" s="11"/>
      <c r="K37" s="11"/>
      <c r="L37" s="20"/>
      <c r="M37" s="20"/>
      <c r="N37" s="20"/>
    </row>
    <row r="38" ht="19.5" customHeight="1" spans="1:14">
      <c r="A38" s="20" t="str">
        <f t="shared" si="0"/>
        <v/>
      </c>
      <c r="B38" s="11"/>
      <c r="C38" s="20"/>
      <c r="D38" s="20"/>
      <c r="E38" s="20"/>
      <c r="F38" s="20"/>
      <c r="G38" s="20"/>
      <c r="H38" s="20"/>
      <c r="I38" s="11"/>
      <c r="J38" s="11"/>
      <c r="K38" s="11"/>
      <c r="L38" s="20"/>
      <c r="M38" s="20"/>
      <c r="N38" s="20"/>
    </row>
    <row r="39" ht="19.5" customHeight="1" spans="1:14">
      <c r="A39" s="20" t="str">
        <f t="shared" si="0"/>
        <v/>
      </c>
      <c r="B39" s="11"/>
      <c r="C39" s="20"/>
      <c r="D39" s="20"/>
      <c r="E39" s="20"/>
      <c r="F39" s="20"/>
      <c r="G39" s="20"/>
      <c r="H39" s="20"/>
      <c r="I39" s="11"/>
      <c r="J39" s="11"/>
      <c r="K39" s="11"/>
      <c r="L39" s="20"/>
      <c r="M39" s="20"/>
      <c r="N39" s="20"/>
    </row>
    <row r="40" ht="19.5" customHeight="1" spans="1:14">
      <c r="A40" s="20" t="str">
        <f t="shared" si="0"/>
        <v/>
      </c>
      <c r="B40" s="11"/>
      <c r="C40" s="20"/>
      <c r="D40" s="20"/>
      <c r="E40" s="20"/>
      <c r="F40" s="20"/>
      <c r="G40" s="20"/>
      <c r="H40" s="20"/>
      <c r="I40" s="11"/>
      <c r="J40" s="11"/>
      <c r="K40" s="11"/>
      <c r="L40" s="20"/>
      <c r="M40" s="20"/>
      <c r="N40" s="20"/>
    </row>
    <row r="41" ht="19.5" customHeight="1" spans="1:14">
      <c r="A41" s="20" t="str">
        <f t="shared" si="0"/>
        <v/>
      </c>
      <c r="B41" s="11"/>
      <c r="C41" s="20"/>
      <c r="D41" s="20"/>
      <c r="E41" s="20"/>
      <c r="F41" s="20"/>
      <c r="G41" s="20"/>
      <c r="H41" s="20"/>
      <c r="I41" s="11"/>
      <c r="J41" s="11"/>
      <c r="K41" s="11"/>
      <c r="L41" s="20"/>
      <c r="M41" s="20"/>
      <c r="N41" s="20"/>
    </row>
    <row r="42" ht="19.5" customHeight="1" spans="1:14">
      <c r="A42" s="20" t="str">
        <f t="shared" si="0"/>
        <v/>
      </c>
      <c r="B42" s="11"/>
      <c r="C42" s="20"/>
      <c r="D42" s="20"/>
      <c r="E42" s="20"/>
      <c r="F42" s="20"/>
      <c r="G42" s="20"/>
      <c r="H42" s="20"/>
      <c r="I42" s="11"/>
      <c r="J42" s="11"/>
      <c r="K42" s="11"/>
      <c r="L42" s="20"/>
      <c r="M42" s="20"/>
      <c r="N42" s="20"/>
    </row>
    <row r="43" ht="19.5" customHeight="1" spans="1:14">
      <c r="A43" s="20" t="str">
        <f t="shared" si="0"/>
        <v/>
      </c>
      <c r="B43" s="11"/>
      <c r="C43" s="20"/>
      <c r="D43" s="20"/>
      <c r="E43" s="20"/>
      <c r="F43" s="20"/>
      <c r="G43" s="20"/>
      <c r="H43" s="20"/>
      <c r="I43" s="11"/>
      <c r="J43" s="11"/>
      <c r="K43" s="11"/>
      <c r="L43" s="20"/>
      <c r="M43" s="20"/>
      <c r="N43" s="20"/>
    </row>
    <row r="44" ht="19.5" customHeight="1" spans="1:14">
      <c r="A44" s="20" t="str">
        <f t="shared" si="0"/>
        <v/>
      </c>
      <c r="B44" s="11"/>
      <c r="C44" s="20"/>
      <c r="D44" s="20"/>
      <c r="E44" s="20"/>
      <c r="F44" s="20"/>
      <c r="G44" s="20"/>
      <c r="H44" s="20"/>
      <c r="I44" s="11"/>
      <c r="J44" s="11"/>
      <c r="K44" s="11"/>
      <c r="L44" s="20"/>
      <c r="M44" s="20"/>
      <c r="N44" s="20"/>
    </row>
    <row r="45" ht="19.5" customHeight="1" spans="1:14">
      <c r="A45" s="20" t="str">
        <f t="shared" si="0"/>
        <v/>
      </c>
      <c r="B45" s="11"/>
      <c r="C45" s="20"/>
      <c r="D45" s="20"/>
      <c r="E45" s="20"/>
      <c r="F45" s="20"/>
      <c r="G45" s="20"/>
      <c r="H45" s="20"/>
      <c r="I45" s="11"/>
      <c r="J45" s="11"/>
      <c r="K45" s="11"/>
      <c r="L45" s="20"/>
      <c r="M45" s="20"/>
      <c r="N45" s="20"/>
    </row>
    <row r="46" ht="19.5" customHeight="1" spans="1:14">
      <c r="A46" s="20" t="str">
        <f t="shared" si="0"/>
        <v/>
      </c>
      <c r="B46" s="11"/>
      <c r="C46" s="20"/>
      <c r="D46" s="20"/>
      <c r="E46" s="20"/>
      <c r="F46" s="20"/>
      <c r="G46" s="20"/>
      <c r="H46" s="20"/>
      <c r="I46" s="11"/>
      <c r="J46" s="11"/>
      <c r="K46" s="11"/>
      <c r="L46" s="20"/>
      <c r="M46" s="20"/>
      <c r="N46" s="20"/>
    </row>
    <row r="47" ht="19.5" customHeight="1" spans="1:14">
      <c r="A47" s="20" t="str">
        <f t="shared" si="0"/>
        <v/>
      </c>
      <c r="B47" s="11"/>
      <c r="C47" s="20"/>
      <c r="D47" s="20"/>
      <c r="E47" s="20"/>
      <c r="F47" s="20"/>
      <c r="G47" s="20"/>
      <c r="H47" s="20"/>
      <c r="I47" s="11"/>
      <c r="J47" s="11"/>
      <c r="K47" s="11"/>
      <c r="L47" s="20"/>
      <c r="M47" s="20"/>
      <c r="N47" s="20"/>
    </row>
    <row r="48" ht="19.5" customHeight="1" spans="1:14">
      <c r="A48" s="20" t="str">
        <f t="shared" si="0"/>
        <v/>
      </c>
      <c r="B48" s="11"/>
      <c r="C48" s="20"/>
      <c r="D48" s="20"/>
      <c r="E48" s="20"/>
      <c r="F48" s="20"/>
      <c r="G48" s="20"/>
      <c r="H48" s="20"/>
      <c r="I48" s="11"/>
      <c r="J48" s="11"/>
      <c r="K48" s="11"/>
      <c r="L48" s="20"/>
      <c r="M48" s="20"/>
      <c r="N48" s="20"/>
    </row>
    <row r="49" ht="19.5" customHeight="1" spans="1:14">
      <c r="A49" s="20" t="str">
        <f t="shared" si="0"/>
        <v/>
      </c>
      <c r="B49" s="11"/>
      <c r="C49" s="20"/>
      <c r="D49" s="20"/>
      <c r="E49" s="20"/>
      <c r="F49" s="20"/>
      <c r="G49" s="20"/>
      <c r="H49" s="20"/>
      <c r="I49" s="11"/>
      <c r="J49" s="11"/>
      <c r="K49" s="11"/>
      <c r="L49" s="20"/>
      <c r="M49" s="20"/>
      <c r="N49" s="20"/>
    </row>
    <row r="50" ht="19.5" customHeight="1" spans="1:14">
      <c r="A50" s="20" t="str">
        <f t="shared" si="0"/>
        <v/>
      </c>
      <c r="B50" s="11"/>
      <c r="C50" s="20"/>
      <c r="D50" s="20"/>
      <c r="E50" s="20"/>
      <c r="F50" s="20"/>
      <c r="G50" s="20"/>
      <c r="H50" s="20"/>
      <c r="I50" s="11"/>
      <c r="J50" s="11"/>
      <c r="K50" s="11"/>
      <c r="L50" s="20"/>
      <c r="M50" s="20"/>
      <c r="N50" s="20"/>
    </row>
    <row r="51" ht="19.5" customHeight="1" spans="1:14">
      <c r="A51" s="20" t="str">
        <f t="shared" si="0"/>
        <v/>
      </c>
      <c r="B51" s="11"/>
      <c r="C51" s="20"/>
      <c r="D51" s="20"/>
      <c r="E51" s="20"/>
      <c r="F51" s="20"/>
      <c r="G51" s="20"/>
      <c r="H51" s="20"/>
      <c r="I51" s="11"/>
      <c r="J51" s="11"/>
      <c r="K51" s="11"/>
      <c r="L51" s="20"/>
      <c r="M51" s="20"/>
      <c r="N51" s="20"/>
    </row>
    <row r="52" ht="19.5" customHeight="1" spans="1:14">
      <c r="A52" s="20" t="str">
        <f t="shared" si="0"/>
        <v/>
      </c>
      <c r="B52" s="11"/>
      <c r="C52" s="20"/>
      <c r="D52" s="20"/>
      <c r="E52" s="20"/>
      <c r="F52" s="20"/>
      <c r="G52" s="20"/>
      <c r="H52" s="20"/>
      <c r="I52" s="11"/>
      <c r="J52" s="11"/>
      <c r="K52" s="11"/>
      <c r="L52" s="20"/>
      <c r="M52" s="20"/>
      <c r="N52" s="20"/>
    </row>
    <row r="53" ht="19.5" customHeight="1" spans="1:14">
      <c r="A53" s="20" t="str">
        <f t="shared" si="0"/>
        <v/>
      </c>
      <c r="B53" s="11"/>
      <c r="C53" s="20"/>
      <c r="D53" s="20"/>
      <c r="E53" s="20"/>
      <c r="F53" s="20"/>
      <c r="G53" s="20"/>
      <c r="H53" s="20"/>
      <c r="I53" s="11"/>
      <c r="J53" s="11"/>
      <c r="K53" s="11"/>
      <c r="L53" s="20"/>
      <c r="M53" s="20"/>
      <c r="N53" s="20"/>
    </row>
    <row r="54" ht="19.5" customHeight="1" spans="1:14">
      <c r="A54" s="20" t="str">
        <f t="shared" si="0"/>
        <v/>
      </c>
      <c r="B54" s="11"/>
      <c r="C54" s="20"/>
      <c r="D54" s="20"/>
      <c r="E54" s="20"/>
      <c r="F54" s="20"/>
      <c r="G54" s="20"/>
      <c r="H54" s="20"/>
      <c r="I54" s="11"/>
      <c r="J54" s="11"/>
      <c r="K54" s="11"/>
      <c r="L54" s="20"/>
      <c r="M54" s="20"/>
      <c r="N54" s="20"/>
    </row>
    <row r="55" ht="19.5" customHeight="1" spans="1:14">
      <c r="A55" s="20" t="str">
        <f t="shared" si="0"/>
        <v/>
      </c>
      <c r="B55" s="11"/>
      <c r="C55" s="20"/>
      <c r="D55" s="20"/>
      <c r="E55" s="20"/>
      <c r="F55" s="20"/>
      <c r="G55" s="20"/>
      <c r="H55" s="20"/>
      <c r="I55" s="11"/>
      <c r="J55" s="11"/>
      <c r="K55" s="11"/>
      <c r="L55" s="20"/>
      <c r="M55" s="20"/>
      <c r="N55" s="20"/>
    </row>
    <row r="56" ht="19.5" customHeight="1" spans="1:14">
      <c r="A56" s="20" t="str">
        <f t="shared" si="0"/>
        <v/>
      </c>
      <c r="B56" s="11"/>
      <c r="C56" s="20"/>
      <c r="D56" s="20"/>
      <c r="E56" s="20"/>
      <c r="F56" s="20"/>
      <c r="G56" s="20"/>
      <c r="H56" s="20"/>
      <c r="I56" s="11"/>
      <c r="J56" s="11"/>
      <c r="K56" s="11"/>
      <c r="L56" s="20"/>
      <c r="M56" s="20"/>
      <c r="N56" s="20"/>
    </row>
    <row r="57" ht="19.5" customHeight="1" spans="1:14">
      <c r="A57" s="20" t="str">
        <f t="shared" si="0"/>
        <v/>
      </c>
      <c r="B57" s="11"/>
      <c r="C57" s="20"/>
      <c r="D57" s="20"/>
      <c r="E57" s="20"/>
      <c r="F57" s="20"/>
      <c r="G57" s="20"/>
      <c r="H57" s="20"/>
      <c r="I57" s="11"/>
      <c r="J57" s="11"/>
      <c r="K57" s="11"/>
      <c r="L57" s="20"/>
      <c r="M57" s="20"/>
      <c r="N57" s="20"/>
    </row>
    <row r="58" ht="19.5" customHeight="1" spans="1:14">
      <c r="A58" s="20" t="str">
        <f t="shared" si="0"/>
        <v/>
      </c>
      <c r="B58" s="11"/>
      <c r="C58" s="20"/>
      <c r="D58" s="20"/>
      <c r="E58" s="20"/>
      <c r="F58" s="20"/>
      <c r="G58" s="20"/>
      <c r="H58" s="20"/>
      <c r="I58" s="11"/>
      <c r="J58" s="11"/>
      <c r="K58" s="11"/>
      <c r="L58" s="20"/>
      <c r="M58" s="20"/>
      <c r="N58" s="20"/>
    </row>
    <row r="59" ht="19.5" customHeight="1" spans="1:14">
      <c r="A59" s="20" t="str">
        <f t="shared" si="0"/>
        <v/>
      </c>
      <c r="B59" s="11"/>
      <c r="C59" s="20"/>
      <c r="D59" s="20"/>
      <c r="E59" s="20"/>
      <c r="F59" s="20"/>
      <c r="G59" s="20"/>
      <c r="H59" s="20"/>
      <c r="I59" s="11"/>
      <c r="J59" s="11"/>
      <c r="K59" s="11"/>
      <c r="L59" s="20"/>
      <c r="M59" s="20"/>
      <c r="N59" s="20"/>
    </row>
    <row r="60" ht="19.5" customHeight="1" spans="1:14">
      <c r="A60" s="20" t="str">
        <f t="shared" si="0"/>
        <v/>
      </c>
      <c r="B60" s="11"/>
      <c r="C60" s="20"/>
      <c r="D60" s="20"/>
      <c r="E60" s="20"/>
      <c r="F60" s="20"/>
      <c r="G60" s="20"/>
      <c r="H60" s="20"/>
      <c r="I60" s="11"/>
      <c r="J60" s="11"/>
      <c r="K60" s="11"/>
      <c r="L60" s="20"/>
      <c r="M60" s="20"/>
      <c r="N60" s="20"/>
    </row>
    <row r="61" ht="19.5" customHeight="1" spans="1:14">
      <c r="A61" s="20" t="str">
        <f t="shared" si="0"/>
        <v/>
      </c>
      <c r="B61" s="11"/>
      <c r="C61" s="20"/>
      <c r="D61" s="20"/>
      <c r="E61" s="20"/>
      <c r="F61" s="20"/>
      <c r="G61" s="20"/>
      <c r="H61" s="20"/>
      <c r="I61" s="11"/>
      <c r="J61" s="11"/>
      <c r="K61" s="11"/>
      <c r="L61" s="20"/>
      <c r="M61" s="20"/>
      <c r="N61" s="20"/>
    </row>
  </sheetData>
  <conditionalFormatting sqref="E2:E61">
    <cfRule type="cellIs" dxfId="8" priority="2" operator="equal">
      <formula>"Critical"</formula>
    </cfRule>
    <cfRule type="cellIs" dxfId="9" priority="3" operator="equal">
      <formula>"High"</formula>
    </cfRule>
    <cfRule type="cellIs" dxfId="10" priority="4" operator="equal">
      <formula>"Medium"</formula>
    </cfRule>
    <cfRule type="cellIs" dxfId="11" priority="5" operator="equal">
      <formula>"Low"</formula>
    </cfRule>
  </conditionalFormatting>
  <conditionalFormatting sqref="F2:F61">
    <cfRule type="cellIs" dxfId="0" priority="6" operator="equal">
      <formula>"P0"</formula>
    </cfRule>
    <cfRule type="cellIs" dxfId="1" priority="7" operator="equal">
      <formula>"P1"</formula>
    </cfRule>
    <cfRule type="cellIs" dxfId="2" priority="8" operator="equal">
      <formula>"P2"</formula>
    </cfRule>
    <cfRule type="cellIs" dxfId="3" priority="9" operator="equal">
      <formula>"P4"</formula>
    </cfRule>
  </conditionalFormatting>
  <conditionalFormatting sqref="G2:G61">
    <cfRule type="cellIs" dxfId="12" priority="10" operator="equal">
      <formula>"New"</formula>
    </cfRule>
    <cfRule type="cellIs" dxfId="1" priority="11" operator="equal">
      <formula>"Open"</formula>
    </cfRule>
    <cfRule type="cellIs" dxfId="2" priority="12" operator="equal">
      <formula>"In Progress"</formula>
    </cfRule>
    <cfRule type="cellIs" dxfId="3" priority="13" operator="equal">
      <formula>"Fixed"</formula>
    </cfRule>
    <cfRule type="cellIs" dxfId="13" priority="14" operator="equal">
      <formula>"Retest"</formula>
    </cfRule>
    <cfRule type="cellIs" dxfId="14" priority="15" operator="equal">
      <formula>"Closed"</formula>
    </cfRule>
    <cfRule type="cellIs" dxfId="15" priority="16" operator="equal">
      <formula>"Rejected"</formula>
    </cfRule>
  </conditionalFormatting>
  <dataValidations count="3">
    <dataValidation type="list" allowBlank="1" sqref="E2:E61">
      <formula1>"Critical,High,Medium,Low"</formula1>
    </dataValidation>
    <dataValidation type="list" allowBlank="1" sqref="F2:F61">
      <formula1>"P0,P1,P2,P4"</formula1>
    </dataValidation>
    <dataValidation type="list" allowBlank="1" sqref="G2:G61">
      <formula1>"New,Open,In Progress,Fixed,Retest,Closed,Rejected"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8.67592592592593" defaultRowHeight="14.4" outlineLevelCol="4"/>
  <cols>
    <col min="1" max="1" width="14" style="1" customWidth="1"/>
    <col min="2" max="2" width="12" style="1" customWidth="1"/>
    <col min="3" max="3" width="55" style="1" customWidth="1"/>
    <col min="4" max="4" width="20" style="1" customWidth="1"/>
    <col min="5" max="5" width="10" style="1" customWidth="1"/>
  </cols>
  <sheetData>
    <row r="1" ht="31.5" customHeight="1" spans="1:5">
      <c r="A1" s="19" t="s">
        <v>1644</v>
      </c>
      <c r="B1" s="19" t="s">
        <v>1</v>
      </c>
      <c r="C1" s="19" t="s">
        <v>1645</v>
      </c>
      <c r="D1" s="19" t="s">
        <v>1646</v>
      </c>
      <c r="E1" s="19" t="s">
        <v>3</v>
      </c>
    </row>
    <row r="2" ht="33.75" customHeight="1" spans="1:5">
      <c r="A2" s="20" t="s">
        <v>1647</v>
      </c>
      <c r="B2" s="20" t="s">
        <v>6</v>
      </c>
      <c r="C2" s="11" t="s">
        <v>1648</v>
      </c>
      <c r="D2" s="20" t="s">
        <v>5</v>
      </c>
      <c r="E2" s="20" t="s">
        <v>8</v>
      </c>
    </row>
    <row r="3" ht="33.75" customHeight="1" spans="1:5">
      <c r="A3" s="20" t="s">
        <v>1649</v>
      </c>
      <c r="B3" s="20" t="s">
        <v>6</v>
      </c>
      <c r="C3" s="11" t="s">
        <v>1650</v>
      </c>
      <c r="D3" s="20" t="s">
        <v>9</v>
      </c>
      <c r="E3" s="20" t="s">
        <v>8</v>
      </c>
    </row>
    <row r="4" ht="33.75" customHeight="1" spans="1:5">
      <c r="A4" s="20" t="s">
        <v>1651</v>
      </c>
      <c r="B4" s="20" t="s">
        <v>6</v>
      </c>
      <c r="C4" s="11" t="s">
        <v>1652</v>
      </c>
      <c r="D4" s="20" t="s">
        <v>11</v>
      </c>
      <c r="E4" s="20" t="s">
        <v>8</v>
      </c>
    </row>
    <row r="5" ht="33.75" customHeight="1" spans="1:5">
      <c r="A5" s="20" t="s">
        <v>1653</v>
      </c>
      <c r="B5" s="20" t="s">
        <v>6</v>
      </c>
      <c r="C5" s="11" t="s">
        <v>1654</v>
      </c>
      <c r="D5" s="20" t="s">
        <v>13</v>
      </c>
      <c r="E5" s="20" t="s">
        <v>15</v>
      </c>
    </row>
    <row r="6" ht="33.75" customHeight="1" spans="1:5">
      <c r="A6" s="20" t="s">
        <v>1655</v>
      </c>
      <c r="B6" s="20" t="s">
        <v>6</v>
      </c>
      <c r="C6" s="11" t="s">
        <v>1656</v>
      </c>
      <c r="D6" s="20" t="s">
        <v>16</v>
      </c>
      <c r="E6" s="20" t="s">
        <v>18</v>
      </c>
    </row>
    <row r="7" ht="33.75" customHeight="1" spans="1:5">
      <c r="A7" s="20" t="s">
        <v>1657</v>
      </c>
      <c r="B7" s="20" t="s">
        <v>6</v>
      </c>
      <c r="C7" s="11" t="s">
        <v>1658</v>
      </c>
      <c r="D7" s="20" t="s">
        <v>19</v>
      </c>
      <c r="E7" s="20" t="s">
        <v>21</v>
      </c>
    </row>
    <row r="8" ht="33.75" customHeight="1" spans="1:5">
      <c r="A8" s="20" t="s">
        <v>1659</v>
      </c>
      <c r="B8" s="20" t="s">
        <v>6</v>
      </c>
      <c r="C8" s="11" t="s">
        <v>1660</v>
      </c>
      <c r="D8" s="20" t="s">
        <v>22</v>
      </c>
      <c r="E8" s="20" t="s">
        <v>18</v>
      </c>
    </row>
    <row r="9" ht="33.75" customHeight="1" spans="1:5">
      <c r="A9" s="20" t="s">
        <v>1661</v>
      </c>
      <c r="B9" s="20" t="s">
        <v>6</v>
      </c>
      <c r="C9" s="11" t="s">
        <v>1662</v>
      </c>
      <c r="D9" s="20" t="s">
        <v>24</v>
      </c>
      <c r="E9" s="20" t="s">
        <v>18</v>
      </c>
    </row>
    <row r="10" ht="33.75" customHeight="1" spans="1:5">
      <c r="A10" s="20" t="s">
        <v>1663</v>
      </c>
      <c r="B10" s="20" t="s">
        <v>6</v>
      </c>
      <c r="C10" s="11" t="s">
        <v>1664</v>
      </c>
      <c r="D10" s="20" t="s">
        <v>26</v>
      </c>
      <c r="E10" s="20" t="s">
        <v>21</v>
      </c>
    </row>
    <row r="11" ht="33.75" customHeight="1" spans="1:5">
      <c r="A11" s="20" t="s">
        <v>1665</v>
      </c>
      <c r="B11" s="20" t="s">
        <v>6</v>
      </c>
      <c r="C11" s="11" t="s">
        <v>1666</v>
      </c>
      <c r="D11" s="20" t="s">
        <v>28</v>
      </c>
      <c r="E11" s="20" t="s">
        <v>18</v>
      </c>
    </row>
    <row r="12" ht="33.75" customHeight="1" spans="1:5">
      <c r="A12" s="20" t="s">
        <v>1667</v>
      </c>
      <c r="B12" s="20" t="s">
        <v>6</v>
      </c>
      <c r="C12" s="11" t="s">
        <v>1668</v>
      </c>
      <c r="D12" s="20" t="s">
        <v>30</v>
      </c>
      <c r="E12" s="20" t="s">
        <v>15</v>
      </c>
    </row>
    <row r="13" ht="33.75" customHeight="1" spans="1:5">
      <c r="A13" s="20" t="s">
        <v>1669</v>
      </c>
      <c r="B13" s="20" t="s">
        <v>6</v>
      </c>
      <c r="C13" s="11" t="s">
        <v>1670</v>
      </c>
      <c r="D13" s="20" t="s">
        <v>32</v>
      </c>
      <c r="E13" s="20" t="s">
        <v>18</v>
      </c>
    </row>
    <row r="14" ht="33.75" customHeight="1" spans="1:5">
      <c r="A14" s="20" t="s">
        <v>1671</v>
      </c>
      <c r="B14" s="20" t="s">
        <v>6</v>
      </c>
      <c r="C14" s="11" t="s">
        <v>1672</v>
      </c>
      <c r="D14" s="20" t="s">
        <v>34</v>
      </c>
      <c r="E14" s="20" t="s">
        <v>15</v>
      </c>
    </row>
  </sheetData>
  <conditionalFormatting sqref="E2:E14">
    <cfRule type="cellIs" dxfId="0" priority="2" operator="equal">
      <formula>"P0"</formula>
    </cfRule>
    <cfRule type="cellIs" dxfId="1" priority="3" operator="equal">
      <formula>"P1"</formula>
    </cfRule>
    <cfRule type="cellIs" dxfId="2" priority="4" operator="equal">
      <formula>"P2"</formula>
    </cfRule>
    <cfRule type="cellIs" dxfId="3" priority="5" operator="equal">
      <formula>"P4"</formula>
    </cfRule>
  </conditionalFormatting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S36"/>
  <sheetViews>
    <sheetView showGridLines="0" zoomScale="90" zoomScaleNormal="90" workbookViewId="0">
      <selection activeCell="A1" sqref="A1"/>
    </sheetView>
  </sheetViews>
  <sheetFormatPr defaultColWidth="8.67592592592593" defaultRowHeight="14.4"/>
  <cols>
    <col min="1" max="1" width="3" style="1" customWidth="1"/>
    <col min="2" max="2" width="16" style="1" customWidth="1"/>
    <col min="3" max="5" width="14" style="1" customWidth="1"/>
    <col min="6" max="6" width="22" style="1" customWidth="1"/>
    <col min="7" max="8" width="14" style="1" customWidth="1"/>
    <col min="9" max="10" width="12" style="1" customWidth="1"/>
    <col min="11" max="11" width="3" style="1" customWidth="1"/>
  </cols>
  <sheetData>
    <row r="2" ht="30" customHeight="1" spans="2:11">
      <c r="B2" s="2" t="s">
        <v>1673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2:11">
      <c r="B3" s="3" t="s">
        <v>1674</v>
      </c>
      <c r="C3" s="3"/>
      <c r="D3" s="3"/>
      <c r="E3" s="3"/>
      <c r="F3" s="3"/>
      <c r="G3" s="3"/>
      <c r="H3" s="3"/>
      <c r="I3" s="3"/>
      <c r="J3" s="3"/>
      <c r="K3" s="3"/>
    </row>
    <row r="5" ht="21.75" customHeight="1" spans="2:11">
      <c r="B5" s="4" t="s">
        <v>1675</v>
      </c>
      <c r="C5" s="4"/>
      <c r="D5" s="4"/>
      <c r="E5" s="4"/>
      <c r="F5" s="4"/>
      <c r="G5" s="4"/>
      <c r="H5" s="4"/>
      <c r="I5" s="4"/>
      <c r="J5" s="4"/>
      <c r="K5" s="4"/>
    </row>
    <row r="6" ht="15" customHeight="1" spans="2:11">
      <c r="B6" s="5" t="s">
        <v>1676</v>
      </c>
      <c r="C6" s="5" t="s">
        <v>118</v>
      </c>
      <c r="D6" s="5" t="s">
        <v>58</v>
      </c>
      <c r="E6" s="5" t="s">
        <v>108</v>
      </c>
      <c r="F6" s="5" t="s">
        <v>391</v>
      </c>
      <c r="G6" s="5" t="s">
        <v>1677</v>
      </c>
      <c r="H6" s="5" t="s">
        <v>1678</v>
      </c>
    </row>
    <row r="7" ht="30" customHeight="1" spans="2:11">
      <c r="B7" s="6">
        <f>COUNTA('Test Cases'!$L$2:$L$272)</f>
        <v>271</v>
      </c>
      <c r="C7" s="6">
        <f>COUNTIF('Test Cases'!$L$2:$L$272,"Not Run")</f>
        <v>196</v>
      </c>
      <c r="D7" s="6">
        <f>COUNTIF('Test Cases'!$L$2:$L$272,"Pass")</f>
        <v>69</v>
      </c>
      <c r="E7" s="6">
        <f>COUNTIF('Test Cases'!$L$2:$L$272,"Fail")</f>
        <v>5</v>
      </c>
      <c r="F7" s="6">
        <f>COUNTIF('Test Cases'!$L$2:$L$272,"Blocked")</f>
        <v>1</v>
      </c>
      <c r="G7" s="7">
        <f>IFERROR(D7/B7,0)</f>
        <v>0.254612546125461</v>
      </c>
      <c r="H7" s="7">
        <f>IFERROR(E7/B7,0)</f>
        <v>0.018450184501845</v>
      </c>
    </row>
    <row r="10" ht="19.5" customHeight="1" spans="2:11">
      <c r="B10" s="4" t="s">
        <v>1679</v>
      </c>
      <c r="C10" s="4"/>
      <c r="E10" s="4" t="s">
        <v>1680</v>
      </c>
      <c r="F10" s="4"/>
    </row>
    <row r="11" ht="15" customHeight="1" spans="2:11">
      <c r="B11" s="8" t="s">
        <v>3</v>
      </c>
      <c r="C11" s="8" t="s">
        <v>1681</v>
      </c>
      <c r="E11" s="8" t="s">
        <v>38</v>
      </c>
      <c r="F11" s="8" t="s">
        <v>1681</v>
      </c>
    </row>
    <row r="12" ht="15" customHeight="1" spans="2:11">
      <c r="B12" s="9" t="s">
        <v>8</v>
      </c>
      <c r="C12" s="10">
        <f>COUNTIF('Test Cases'!$J$2:$J$272,"P0")</f>
        <v>61</v>
      </c>
      <c r="E12" s="11" t="s">
        <v>51</v>
      </c>
      <c r="F12" s="10">
        <f>COUNTIF('Test Cases'!$D$2:$D$272,"Register")</f>
        <v>27</v>
      </c>
    </row>
    <row r="13" ht="15" customHeight="1" spans="2:11">
      <c r="B13" s="12" t="s">
        <v>18</v>
      </c>
      <c r="C13" s="10">
        <f>COUNTIF('Test Cases'!$J$2:$J$272,"P1")</f>
        <v>121</v>
      </c>
      <c r="E13" s="11" t="s">
        <v>221</v>
      </c>
      <c r="F13" s="10">
        <f>COUNTIF('Test Cases'!$D$2:$D$272,"Login")</f>
        <v>23</v>
      </c>
    </row>
    <row r="14" ht="15" customHeight="1" spans="2:11">
      <c r="B14" s="13" t="s">
        <v>15</v>
      </c>
      <c r="C14" s="10">
        <f>COUNTIF('Test Cases'!$J$2:$J$272,"P2")</f>
        <v>44</v>
      </c>
      <c r="E14" s="11" t="s">
        <v>351</v>
      </c>
      <c r="F14" s="10">
        <f>COUNTIF('Test Cases'!$D$2:$D$272,"Logout")</f>
        <v>11</v>
      </c>
    </row>
    <row r="15" ht="15" customHeight="1" spans="2:11">
      <c r="B15" s="14" t="s">
        <v>21</v>
      </c>
      <c r="C15" s="10">
        <f>COUNTIF('Test Cases'!$J$2:$J$272,"P4")</f>
        <v>45</v>
      </c>
      <c r="E15" s="11" t="s">
        <v>14</v>
      </c>
      <c r="F15" s="10">
        <f>COUNTIF('Test Cases'!$D$2:$D$272,"Forgot Password")</f>
        <v>25</v>
      </c>
    </row>
    <row r="16" ht="15" customHeight="1" spans="2:11">
      <c r="E16" s="11" t="s">
        <v>550</v>
      </c>
      <c r="F16" s="10">
        <f>COUNTIF('Test Cases'!$D$2:$D$272,"Search")</f>
        <v>22</v>
      </c>
    </row>
    <row r="17" ht="15" customHeight="1" spans="2:6">
      <c r="E17" s="11" t="s">
        <v>20</v>
      </c>
      <c r="F17" s="10">
        <f>COUNTIF('Test Cases'!$D$2:$D$272,"Product Compare")</f>
        <v>24</v>
      </c>
    </row>
    <row r="18" ht="23.25" customHeight="1" spans="2:6">
      <c r="E18" s="11" t="s">
        <v>23</v>
      </c>
      <c r="F18" s="10">
        <f>COUNTIF('Test Cases'!$D$2:$D$272,"Product Display Page")</f>
        <v>37</v>
      </c>
    </row>
    <row r="19" ht="15" customHeight="1" spans="2:6">
      <c r="E19" s="11" t="s">
        <v>25</v>
      </c>
      <c r="F19" s="10">
        <f>COUNTIF('Test Cases'!$D$2:$D$272,"Add to Cart")</f>
        <v>9</v>
      </c>
    </row>
    <row r="20" ht="15" customHeight="1" spans="2:6">
      <c r="E20" s="11" t="s">
        <v>27</v>
      </c>
      <c r="F20" s="10">
        <f>COUNTIF('Test Cases'!$D$2:$D$272,"Wish List")</f>
        <v>21</v>
      </c>
    </row>
    <row r="21" ht="15" customHeight="1" spans="2:6">
      <c r="E21" s="11" t="s">
        <v>29</v>
      </c>
      <c r="F21" s="10">
        <f>COUNTIF('Test Cases'!$D$2:$D$272,"Shopping Cart")</f>
        <v>33</v>
      </c>
    </row>
    <row r="22" ht="15" customHeight="1" spans="2:6">
      <c r="E22" s="11" t="s">
        <v>31</v>
      </c>
      <c r="F22" s="10">
        <f>COUNTIF('Test Cases'!$D$2:$D$272,"Home Page")</f>
        <v>10</v>
      </c>
    </row>
    <row r="23" ht="15" customHeight="1" spans="2:6">
      <c r="E23" s="11" t="s">
        <v>33</v>
      </c>
      <c r="F23" s="10">
        <f>COUNTIF('Test Cases'!$D$2:$D$272,"Checkout")</f>
        <v>20</v>
      </c>
    </row>
    <row r="24" ht="15" customHeight="1" spans="2:6">
      <c r="E24" s="11" t="s">
        <v>35</v>
      </c>
      <c r="F24" s="10">
        <f>COUNTIF('Test Cases'!$D$2:$D$272,"My Account")</f>
        <v>9</v>
      </c>
    </row>
    <row r="27" ht="19.5" customHeight="1" spans="2:6">
      <c r="B27" s="4" t="s">
        <v>1682</v>
      </c>
      <c r="C27" s="4"/>
    </row>
    <row r="28" ht="15" customHeight="1" spans="2:6">
      <c r="B28" s="8" t="s">
        <v>45</v>
      </c>
      <c r="C28" s="8" t="s">
        <v>1681</v>
      </c>
    </row>
    <row r="29" ht="15" customHeight="1" spans="2:6">
      <c r="B29" s="15" t="s">
        <v>118</v>
      </c>
      <c r="C29" s="10">
        <f>COUNTIF('Test Cases'!$L$2:$L$272,"Not Run")</f>
        <v>196</v>
      </c>
    </row>
    <row r="30" ht="15" customHeight="1" spans="2:6">
      <c r="B30" s="16" t="s">
        <v>58</v>
      </c>
      <c r="C30" s="10">
        <f>COUNTIF('Test Cases'!$L$2:$L$272,"Pass")</f>
        <v>69</v>
      </c>
    </row>
    <row r="31" ht="15" customHeight="1" spans="2:6">
      <c r="B31" s="17" t="s">
        <v>108</v>
      </c>
      <c r="C31" s="10">
        <f>COUNTIF('Test Cases'!$L$2:$L$272,"Fail")</f>
        <v>5</v>
      </c>
    </row>
    <row r="32" ht="15" customHeight="1" spans="2:6">
      <c r="B32" s="18" t="s">
        <v>391</v>
      </c>
      <c r="C32" s="10">
        <f>COUNTIF('Test Cases'!$L$2:$L$272,"Blocked")</f>
        <v>1</v>
      </c>
    </row>
    <row r="33" ht="15" customHeight="1" spans="2:19">
      <c r="B33" s="15" t="s">
        <v>211</v>
      </c>
      <c r="C33" s="10">
        <f>COUNTIF('Test Cases'!$L$2:$L$272,"N/A")</f>
        <v>0</v>
      </c>
    </row>
    <row r="36" ht="19.5" customHeight="1" spans="2:19">
      <c r="B36" s="4" t="s">
        <v>1683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</sheetData>
  <mergeCells count="7">
    <mergeCell ref="B2:K2"/>
    <mergeCell ref="B3:K3"/>
    <mergeCell ref="B5:K5"/>
    <mergeCell ref="B10:C10"/>
    <mergeCell ref="E10:F10"/>
    <mergeCell ref="B27:C27"/>
    <mergeCell ref="B36:S36"/>
  </mergeCells>
  <pageMargins left="0.75" right="0.75" top="1" bottom="1" header="0.511811023622047" footer="0.511811023622047"/>
  <pageSetup paperSize="1" fitToHeight="0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Test Scenarios</vt:lpstr>
      <vt:lpstr>Test Cases</vt:lpstr>
      <vt:lpstr>Test Cases (Simple)</vt:lpstr>
      <vt:lpstr>Test Execution</vt:lpstr>
      <vt:lpstr>Bug Tracker</vt:lpstr>
      <vt:lpstr>Requirements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Salama</cp:lastModifiedBy>
  <cp:revision>3</cp:revision>
  <dcterms:created xsi:type="dcterms:W3CDTF">2026-09-17T09:52:00Z</dcterms:created>
  <dcterms:modified xsi:type="dcterms:W3CDTF">2026-10-16T12:42:59Z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F32146810B06473CA0C7D2212B1C82DE_12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